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E052FB-FF0A-4D30-AFBA-8552AF8DA4D1}" xr6:coauthVersionLast="47" xr6:coauthVersionMax="47" xr10:uidLastSave="{00000000-0000-0000-0000-000000000000}"/>
  <bookViews>
    <workbookView xWindow="-110" yWindow="-110" windowWidth="19420" windowHeight="10300" activeTab="4" xr2:uid="{6F6A6639-BF84-4FD5-B08B-CC4C44E97135}"/>
  </bookViews>
  <sheets>
    <sheet name="Hypothèses" sheetId="1" r:id="rId1"/>
    <sheet name="Ventes" sheetId="2" r:id="rId2"/>
    <sheet name="Charges et FCF" sheetId="3" r:id="rId3"/>
    <sheet name="Analyse" sheetId="4" r:id="rId4"/>
    <sheet name="Tableau de bord" sheetId="6" r:id="rId5"/>
  </sheets>
  <externalReferences>
    <externalReference r:id="rId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6" l="1"/>
  <c r="K56" i="6"/>
  <c r="K54" i="6"/>
  <c r="L55" i="6"/>
  <c r="L56" i="6"/>
  <c r="L54" i="6"/>
  <c r="J54" i="6"/>
  <c r="J55" i="6"/>
  <c r="J56" i="6"/>
  <c r="H56" i="6"/>
  <c r="H55" i="6"/>
  <c r="H54" i="6"/>
  <c r="M12" i="2"/>
  <c r="M11" i="2"/>
  <c r="M10" i="2"/>
  <c r="N12" i="2"/>
  <c r="N11" i="2"/>
  <c r="N10" i="2"/>
  <c r="J6" i="6"/>
  <c r="J4" i="6"/>
  <c r="C17" i="4"/>
  <c r="I54" i="6" s="1"/>
  <c r="C18" i="4"/>
  <c r="I55" i="6" s="1"/>
  <c r="C19" i="4"/>
  <c r="I56" i="6" s="1"/>
  <c r="I13" i="1"/>
  <c r="I11" i="1"/>
  <c r="D9" i="3"/>
  <c r="C9" i="2"/>
  <c r="C17" i="2"/>
  <c r="C16" i="2"/>
  <c r="C13" i="2"/>
  <c r="C12" i="2"/>
  <c r="C8" i="2"/>
  <c r="I8" i="1"/>
  <c r="I9" i="1"/>
  <c r="I10" i="1"/>
  <c r="I12" i="1"/>
  <c r="I7" i="1"/>
  <c r="J10" i="6" s="1"/>
  <c r="D9" i="2" l="1"/>
  <c r="E9" i="2" s="1"/>
  <c r="D16" i="2"/>
  <c r="E16" i="2" s="1"/>
  <c r="F16" i="2" s="1"/>
  <c r="G16" i="2" s="1"/>
  <c r="H16" i="2" s="1"/>
  <c r="D8" i="2"/>
  <c r="E8" i="2" s="1"/>
  <c r="F8" i="2" s="1"/>
  <c r="G8" i="2" s="1"/>
  <c r="H8" i="2" s="1"/>
  <c r="D12" i="2"/>
  <c r="E12" i="2" s="1"/>
  <c r="F12" i="2" s="1"/>
  <c r="G12" i="2" s="1"/>
  <c r="H12" i="2" s="1"/>
  <c r="D13" i="2"/>
  <c r="E13" i="2" s="1"/>
  <c r="F13" i="2" s="1"/>
  <c r="G13" i="2" s="1"/>
  <c r="H13" i="2" s="1"/>
  <c r="E9" i="3"/>
  <c r="F9" i="3" s="1"/>
  <c r="G9" i="3" s="1"/>
  <c r="H9" i="3" s="1"/>
  <c r="I9" i="3" s="1"/>
  <c r="C18" i="2"/>
  <c r="D17" i="2"/>
  <c r="E17" i="2" s="1"/>
  <c r="F17" i="2" s="1"/>
  <c r="G17" i="2" s="1"/>
  <c r="H17" i="2" s="1"/>
  <c r="C14" i="2"/>
  <c r="C10" i="2"/>
  <c r="E14" i="2" l="1"/>
  <c r="D10" i="2"/>
  <c r="D14" i="2"/>
  <c r="F18" i="2"/>
  <c r="E18" i="2"/>
  <c r="F9" i="2"/>
  <c r="E10" i="2"/>
  <c r="D18" i="2"/>
  <c r="F14" i="2"/>
  <c r="H18" i="2"/>
  <c r="G18" i="2"/>
  <c r="C20" i="2"/>
  <c r="D6" i="3" l="1"/>
  <c r="D15" i="3" s="1"/>
  <c r="D11" i="3" s="1"/>
  <c r="D20" i="2"/>
  <c r="E20" i="2"/>
  <c r="G9" i="2"/>
  <c r="F10" i="2"/>
  <c r="F20" i="2" s="1"/>
  <c r="H14" i="2"/>
  <c r="G14" i="2"/>
  <c r="D16" i="3" l="1"/>
  <c r="D7" i="3"/>
  <c r="D8" i="3" s="1"/>
  <c r="D10" i="3" s="1"/>
  <c r="C9" i="4" s="1"/>
  <c r="E6" i="3"/>
  <c r="F6" i="3"/>
  <c r="G6" i="3"/>
  <c r="G15" i="3" s="1"/>
  <c r="G11" i="3" s="1"/>
  <c r="H9" i="2"/>
  <c r="G10" i="2"/>
  <c r="G20" i="2" s="1"/>
  <c r="H10" i="2" l="1"/>
  <c r="H20" i="2" s="1"/>
  <c r="C8" i="4"/>
  <c r="G7" i="3"/>
  <c r="G8" i="3" s="1"/>
  <c r="G10" i="3" s="1"/>
  <c r="D12" i="3"/>
  <c r="G16" i="3"/>
  <c r="F7" i="4"/>
  <c r="F16" i="3"/>
  <c r="E7" i="4"/>
  <c r="E7" i="3"/>
  <c r="E8" i="3" s="1"/>
  <c r="D7" i="4"/>
  <c r="F7" i="3"/>
  <c r="F8" i="3" s="1"/>
  <c r="F15" i="3"/>
  <c r="F11" i="3" s="1"/>
  <c r="E15" i="3"/>
  <c r="E11" i="3" s="1"/>
  <c r="E16" i="3"/>
  <c r="E17" i="3" s="1"/>
  <c r="H6" i="3"/>
  <c r="W4" i="6" l="1"/>
  <c r="K7" i="4"/>
  <c r="I6" i="3"/>
  <c r="F9" i="4"/>
  <c r="G12" i="3"/>
  <c r="F10" i="4" s="1"/>
  <c r="F8" i="4"/>
  <c r="G17" i="3"/>
  <c r="E10" i="3"/>
  <c r="D8" i="4"/>
  <c r="H16" i="3"/>
  <c r="H17" i="3" s="1"/>
  <c r="G7" i="4"/>
  <c r="D13" i="3"/>
  <c r="D14" i="3" s="1"/>
  <c r="D18" i="3" s="1"/>
  <c r="C10" i="4"/>
  <c r="F10" i="3"/>
  <c r="E8" i="4"/>
  <c r="H7" i="3"/>
  <c r="H8" i="3" s="1"/>
  <c r="H15" i="3"/>
  <c r="H11" i="3" s="1"/>
  <c r="F17" i="3"/>
  <c r="D9" i="4" l="1"/>
  <c r="K11" i="4"/>
  <c r="B11" i="6" s="1"/>
  <c r="B7" i="6"/>
  <c r="I15" i="3"/>
  <c r="I11" i="3" s="1"/>
  <c r="I7" i="3"/>
  <c r="I8" i="3" s="1"/>
  <c r="I16" i="3"/>
  <c r="I17" i="3" s="1"/>
  <c r="H7" i="4"/>
  <c r="G13" i="3"/>
  <c r="G14" i="3" s="1"/>
  <c r="G18" i="3" s="1"/>
  <c r="F11" i="4" s="1"/>
  <c r="E12" i="3"/>
  <c r="E13" i="3" s="1"/>
  <c r="E14" i="3" s="1"/>
  <c r="E18" i="3" s="1"/>
  <c r="D11" i="4" s="1"/>
  <c r="F12" i="3"/>
  <c r="E9" i="4"/>
  <c r="H10" i="3"/>
  <c r="G9" i="4" s="1"/>
  <c r="G8" i="4"/>
  <c r="C11" i="4"/>
  <c r="H8" i="4" l="1"/>
  <c r="K14" i="4" s="1"/>
  <c r="F11" i="6" s="1"/>
  <c r="I10" i="3"/>
  <c r="D10" i="4"/>
  <c r="H12" i="3"/>
  <c r="F13" i="3"/>
  <c r="F14" i="3" s="1"/>
  <c r="F18" i="3" s="1"/>
  <c r="E11" i="4" s="1"/>
  <c r="E10" i="4"/>
  <c r="Y4" i="6" l="1"/>
  <c r="K12" i="4"/>
  <c r="K13" i="4"/>
  <c r="I12" i="3"/>
  <c r="H10" i="4" s="1"/>
  <c r="K8" i="4"/>
  <c r="F7" i="6" s="1"/>
  <c r="H9" i="4"/>
  <c r="AA4" i="6" s="1"/>
  <c r="H13" i="3"/>
  <c r="H14" i="3" s="1"/>
  <c r="H18" i="3" s="1"/>
  <c r="G10" i="4"/>
  <c r="K9" i="4" l="1"/>
  <c r="I13" i="3"/>
  <c r="I14" i="3" s="1"/>
  <c r="I18" i="3" s="1"/>
  <c r="H11" i="4" s="1"/>
  <c r="G11" i="4"/>
  <c r="AC4" i="6" l="1"/>
  <c r="K10" i="4"/>
</calcChain>
</file>

<file path=xl/sharedStrings.xml><?xml version="1.0" encoding="utf-8"?>
<sst xmlns="http://schemas.openxmlformats.org/spreadsheetml/2006/main" count="138" uniqueCount="87">
  <si>
    <t>Hypothèses &amp; scénarios</t>
  </si>
  <si>
    <t>Hypothèse</t>
  </si>
  <si>
    <t>Base</t>
  </si>
  <si>
    <t>Optimiste</t>
  </si>
  <si>
    <t>Pessimiste</t>
  </si>
  <si>
    <t>Croissance volumes</t>
  </si>
  <si>
    <t>Croissance prix</t>
  </si>
  <si>
    <t>Coût variable (% CA)</t>
  </si>
  <si>
    <t>Inflation charges fixes</t>
  </si>
  <si>
    <t>CAPEX (% CA)</t>
  </si>
  <si>
    <t>BFR (% CA)</t>
  </si>
  <si>
    <t>Taux IS</t>
  </si>
  <si>
    <t>Hypothèse active</t>
  </si>
  <si>
    <t>Valeur</t>
  </si>
  <si>
    <t>Capex (% CA)</t>
  </si>
  <si>
    <t>Données de départ (2025)</t>
  </si>
  <si>
    <t>Produit</t>
  </si>
  <si>
    <t>Abonnement</t>
  </si>
  <si>
    <t>Formation</t>
  </si>
  <si>
    <t>Conseil</t>
  </si>
  <si>
    <t xml:space="preserve">Charges fixes 2025 </t>
  </si>
  <si>
    <t>Volume 2025</t>
  </si>
  <si>
    <t>Prix unitaire 2025</t>
  </si>
  <si>
    <t>Volume</t>
  </si>
  <si>
    <t>Projections et ventes</t>
  </si>
  <si>
    <t xml:space="preserve">Prix unitaire </t>
  </si>
  <si>
    <t>CA</t>
  </si>
  <si>
    <t>Total CA</t>
  </si>
  <si>
    <t>Charges, résultat &amp; FCF</t>
  </si>
  <si>
    <t>2025A</t>
  </si>
  <si>
    <t>2026E</t>
  </si>
  <si>
    <t>2027E</t>
  </si>
  <si>
    <t>2028E</t>
  </si>
  <si>
    <t>2029E</t>
  </si>
  <si>
    <t>2030E</t>
  </si>
  <si>
    <t>Couts variables</t>
  </si>
  <si>
    <t>Marge brute</t>
  </si>
  <si>
    <t>Charges fixes</t>
  </si>
  <si>
    <t>EBITDA</t>
  </si>
  <si>
    <t>Dotations aux amortissements</t>
  </si>
  <si>
    <t>EBIT</t>
  </si>
  <si>
    <t>Impot sur EBIT</t>
  </si>
  <si>
    <t>NOPAT</t>
  </si>
  <si>
    <t>Capex</t>
  </si>
  <si>
    <t>BFR</t>
  </si>
  <si>
    <t>Variation du BFR</t>
  </si>
  <si>
    <t>FCF</t>
  </si>
  <si>
    <t>Croissance du CA</t>
  </si>
  <si>
    <t>Marge brute %</t>
  </si>
  <si>
    <t>Marge EBITDA %</t>
  </si>
  <si>
    <t>Marge EBIT %</t>
  </si>
  <si>
    <t>Conversion FCF / EBITDA</t>
  </si>
  <si>
    <t>Analyse financière</t>
  </si>
  <si>
    <t>Indicateurs cles</t>
  </si>
  <si>
    <t>CA 2030</t>
  </si>
  <si>
    <t>EBITDA 2030</t>
  </si>
  <si>
    <t>Marge EBITDA 2030</t>
  </si>
  <si>
    <t>FCF Cumule 2025-2030</t>
  </si>
  <si>
    <t>CAGR du CA 2025-2030</t>
  </si>
  <si>
    <t>Point mort 2026</t>
  </si>
  <si>
    <t>Comparaison rapide des scenarios (2030)</t>
  </si>
  <si>
    <t>Scenario</t>
  </si>
  <si>
    <t xml:space="preserve">Marge EBITDA </t>
  </si>
  <si>
    <t>Commentaires</t>
  </si>
  <si>
    <t>Tableau de bord — Modèle financier</t>
  </si>
  <si>
    <t xml:space="preserve">FCF Cumule </t>
  </si>
  <si>
    <t>Scénario actif :</t>
  </si>
  <si>
    <t>=</t>
  </si>
  <si>
    <t>-</t>
  </si>
  <si>
    <t>FCF = NOPAT + amoritssements - CAPEX - variation BFR</t>
  </si>
  <si>
    <t>Croissance stable</t>
  </si>
  <si>
    <t>Forte croissance</t>
  </si>
  <si>
    <t>Pression sur marges</t>
  </si>
  <si>
    <t>Fait par Marcel CHANARD</t>
  </si>
  <si>
    <t>CAGR du CA</t>
  </si>
  <si>
    <t>CAGR EBITDA 2025-2030</t>
  </si>
  <si>
    <t>Marge EBITDA moyenne</t>
  </si>
  <si>
    <t>Scénario actif</t>
  </si>
  <si>
    <t>Trajectoire opérationnelle</t>
  </si>
  <si>
    <t>Rentabilité &amp; croissance</t>
  </si>
  <si>
    <t>Génération de cash</t>
  </si>
  <si>
    <t>Mix de valeur 2030</t>
  </si>
  <si>
    <t>Profil des scénarios</t>
  </si>
  <si>
    <t>Matrice scénarios 2030</t>
  </si>
  <si>
    <t>Scénario</t>
  </si>
  <si>
    <t>Marge EBITDA</t>
  </si>
  <si>
    <t>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</si>
</sst>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0.0%"/>
    <numFmt numFmtId="166" formatCode="#\ ##0&quot; €&quot;;[Red]\(#\ ##0&quot; €&quot;\);\-"/>
  </numFmts>
  <fonts count="2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theme="0"/>
      <name val="Aptos Narrow"/>
      <family val="2"/>
      <scheme val="minor"/>
    </font>
    <font>
      <b/>
      <sz val="12"/>
      <name val="Calibri"/>
    </font>
    <font>
      <i/>
      <sz val="10"/>
      <name val="Calibri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3"/>
      <color rgb="FF7030A0"/>
      <name val="Aptos Narrow"/>
    </font>
    <font>
      <b/>
      <sz val="11"/>
      <color rgb="FF17365D"/>
      <name val="Aptos Narrow"/>
    </font>
    <font>
      <b/>
      <sz val="15"/>
      <color rgb="FF1F1F1F"/>
      <name val="Aptos Narrow"/>
    </font>
    <font>
      <b/>
      <sz val="11"/>
      <color rgb="FFFFFFFF"/>
      <name val="Aptos Narrow"/>
    </font>
    <font>
      <b/>
      <sz val="11"/>
      <name val="Aptos Narrow"/>
      <family val="2"/>
    </font>
    <font>
      <b/>
      <sz val="10"/>
      <name val="Aptos Narrow"/>
      <family val="2"/>
    </font>
    <font>
      <sz val="10"/>
      <name val="Aptos Narrow"/>
      <family val="2"/>
    </font>
    <font>
      <b/>
      <sz val="26"/>
      <name val="Aptos Narrow"/>
      <family val="2"/>
    </font>
    <font>
      <b/>
      <sz val="15"/>
      <name val="Aptos Narrow"/>
      <family val="2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B9FFB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5F0FF"/>
      </patternFill>
    </fill>
    <fill>
      <patternFill patternType="solid">
        <fgColor rgb="FFF7F9FC"/>
      </patternFill>
    </fill>
    <fill>
      <patternFill patternType="solid">
        <fgColor rgb="FF17365D"/>
      </patternFill>
    </fill>
    <fill>
      <patternFill patternType="solid">
        <fgColor rgb="FFF3E5F5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4" fillId="3" borderId="0" xfId="0" applyFont="1" applyFill="1"/>
    <xf numFmtId="0" fontId="5" fillId="3" borderId="0" xfId="0" applyFont="1" applyFill="1"/>
    <xf numFmtId="164" fontId="5" fillId="5" borderId="0" xfId="0" applyNumberFormat="1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wrapText="1"/>
    </xf>
    <xf numFmtId="0" fontId="9" fillId="3" borderId="0" xfId="0" applyFont="1" applyFill="1"/>
    <xf numFmtId="10" fontId="0" fillId="3" borderId="0" xfId="0" applyNumberFormat="1" applyFill="1"/>
    <xf numFmtId="10" fontId="0" fillId="0" borderId="0" xfId="0" applyNumberFormat="1"/>
    <xf numFmtId="0" fontId="0" fillId="3" borderId="0" xfId="0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/>
    </xf>
    <xf numFmtId="0" fontId="1" fillId="2" borderId="0" xfId="0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10" fontId="0" fillId="5" borderId="0" xfId="1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0" fillId="4" borderId="0" xfId="0" applyFill="1" applyAlignment="1">
      <alignment horizontal="center" vertical="center"/>
    </xf>
    <xf numFmtId="164" fontId="5" fillId="5" borderId="0" xfId="0" applyNumberFormat="1" applyFont="1" applyFill="1" applyAlignment="1">
      <alignment horizontal="right" vertical="center"/>
    </xf>
    <xf numFmtId="164" fontId="0" fillId="2" borderId="0" xfId="0" applyNumberFormat="1" applyFill="1"/>
    <xf numFmtId="164" fontId="1" fillId="2" borderId="0" xfId="0" applyNumberFormat="1" applyFont="1" applyFill="1"/>
    <xf numFmtId="164" fontId="4" fillId="3" borderId="0" xfId="0" applyNumberFormat="1" applyFont="1" applyFill="1"/>
    <xf numFmtId="164" fontId="0" fillId="3" borderId="0" xfId="0" applyNumberFormat="1" applyFill="1"/>
    <xf numFmtId="0" fontId="0" fillId="3" borderId="1" xfId="0" applyFill="1" applyBorder="1"/>
    <xf numFmtId="164" fontId="4" fillId="3" borderId="1" xfId="0" applyNumberFormat="1" applyFont="1" applyFill="1" applyBorder="1"/>
    <xf numFmtId="164" fontId="0" fillId="3" borderId="1" xfId="0" applyNumberFormat="1" applyFill="1" applyBorder="1"/>
    <xf numFmtId="164" fontId="0" fillId="3" borderId="0" xfId="0" applyNumberFormat="1" applyFill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2" fillId="3" borderId="1" xfId="0" applyFont="1" applyFill="1" applyBorder="1"/>
    <xf numFmtId="0" fontId="10" fillId="3" borderId="0" xfId="0" applyFont="1" applyFill="1" applyAlignment="1">
      <alignment vertical="top" wrapText="1"/>
    </xf>
    <xf numFmtId="0" fontId="0" fillId="3" borderId="0" xfId="0" applyFill="1" applyAlignment="1">
      <alignment horizontal="right"/>
    </xf>
    <xf numFmtId="10" fontId="0" fillId="3" borderId="0" xfId="0" applyNumberFormat="1" applyFill="1" applyAlignment="1">
      <alignment horizontal="right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8" fillId="2" borderId="0" xfId="0" applyFont="1" applyFill="1"/>
    <xf numFmtId="1" fontId="4" fillId="3" borderId="0" xfId="0" applyNumberFormat="1" applyFont="1" applyFill="1"/>
    <xf numFmtId="0" fontId="4" fillId="3" borderId="0" xfId="0" applyFont="1" applyFill="1" applyAlignment="1">
      <alignment horizontal="left" vertical="center"/>
    </xf>
    <xf numFmtId="10" fontId="5" fillId="5" borderId="0" xfId="0" applyNumberFormat="1" applyFont="1" applyFill="1" applyAlignment="1">
      <alignment horizontal="right" vertical="center"/>
    </xf>
    <xf numFmtId="0" fontId="0" fillId="6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0" fontId="0" fillId="5" borderId="0" xfId="1" applyNumberFormat="1" applyFont="1" applyFill="1" applyAlignment="1">
      <alignment horizontal="center"/>
    </xf>
    <xf numFmtId="10" fontId="0" fillId="8" borderId="0" xfId="1" applyNumberFormat="1" applyFont="1" applyFill="1" applyAlignment="1">
      <alignment horizontal="center"/>
    </xf>
    <xf numFmtId="10" fontId="0" fillId="7" borderId="0" xfId="1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4" fontId="0" fillId="9" borderId="0" xfId="0" applyNumberFormat="1" applyFill="1" applyAlignment="1">
      <alignment horizontal="right"/>
    </xf>
    <xf numFmtId="10" fontId="0" fillId="10" borderId="0" xfId="0" applyNumberFormat="1" applyFill="1" applyAlignment="1">
      <alignment horizontal="right"/>
    </xf>
    <xf numFmtId="164" fontId="0" fillId="10" borderId="0" xfId="0" applyNumberFormat="1" applyFill="1" applyAlignment="1">
      <alignment horizontal="right"/>
    </xf>
    <xf numFmtId="164" fontId="0" fillId="11" borderId="0" xfId="0" applyNumberFormat="1" applyFill="1" applyAlignment="1">
      <alignment horizontal="right"/>
    </xf>
    <xf numFmtId="0" fontId="0" fillId="13" borderId="0" xfId="0" applyFill="1"/>
    <xf numFmtId="0" fontId="18" fillId="3" borderId="13" xfId="0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166" fontId="19" fillId="3" borderId="13" xfId="0" applyNumberFormat="1" applyFont="1" applyFill="1" applyBorder="1" applyAlignment="1">
      <alignment horizontal="center"/>
    </xf>
    <xf numFmtId="0" fontId="22" fillId="2" borderId="0" xfId="0" applyFont="1" applyFill="1"/>
    <xf numFmtId="0" fontId="23" fillId="2" borderId="13" xfId="0" applyFont="1" applyFill="1" applyBorder="1" applyAlignment="1">
      <alignment horizontal="center"/>
    </xf>
    <xf numFmtId="10" fontId="19" fillId="3" borderId="13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14" borderId="10" xfId="0" applyFont="1" applyFill="1" applyBorder="1" applyAlignment="1">
      <alignment horizontal="center"/>
    </xf>
    <xf numFmtId="0" fontId="0" fillId="0" borderId="9" xfId="0" applyBorder="1"/>
    <xf numFmtId="0" fontId="0" fillId="0" borderId="8" xfId="0" applyBorder="1"/>
    <xf numFmtId="165" fontId="15" fillId="5" borderId="12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5" borderId="11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5" xfId="0" applyFill="1" applyBorder="1"/>
    <xf numFmtId="166" fontId="15" fillId="5" borderId="1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2" borderId="0" xfId="0" applyFill="1"/>
    <xf numFmtId="0" fontId="8" fillId="2" borderId="0" xfId="0" applyFont="1" applyFill="1" applyAlignment="1">
      <alignment horizontal="left"/>
    </xf>
    <xf numFmtId="0" fontId="4" fillId="3" borderId="0" xfId="0" applyFont="1" applyFill="1" applyBorder="1"/>
    <xf numFmtId="0" fontId="0" fillId="3" borderId="0" xfId="0" applyFill="1" applyBorder="1"/>
    <xf numFmtId="0" fontId="17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 vertical="center"/>
    </xf>
    <xf numFmtId="165" fontId="21" fillId="3" borderId="0" xfId="0" applyNumberFormat="1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3" fillId="12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vertical="center" wrapText="1"/>
    </xf>
    <xf numFmtId="0" fontId="14" fillId="15" borderId="0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/>
    </xf>
    <xf numFmtId="0" fontId="13" fillId="12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14" fillId="15" borderId="14" xfId="0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/>
    </xf>
    <xf numFmtId="0" fontId="13" fillId="12" borderId="1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 wrapText="1"/>
    </xf>
    <xf numFmtId="0" fontId="0" fillId="3" borderId="17" xfId="0" applyFill="1" applyBorder="1"/>
    <xf numFmtId="0" fontId="14" fillId="15" borderId="17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3" fillId="3" borderId="0" xfId="0" applyFont="1" applyFill="1"/>
    <xf numFmtId="164" fontId="3" fillId="3" borderId="0" xfId="0" applyNumberFormat="1" applyFont="1" applyFill="1"/>
    <xf numFmtId="164" fontId="0" fillId="5" borderId="0" xfId="0" applyNumberFormat="1" applyFill="1" applyAlignment="1">
      <alignment horizontal="left"/>
    </xf>
    <xf numFmtId="165" fontId="0" fillId="5" borderId="0" xfId="1" applyNumberFormat="1" applyFont="1" applyFill="1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E7ECFF"/>
      <color rgb="FFE1ECFF"/>
      <color rgb="FFCFD2ED"/>
      <color rgb="FFFFBDBD"/>
      <color rgb="FFB9FF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'Charges et FCF'!$B$6</c:f>
              <c:strCache>
                <c:ptCount val="1"/>
                <c:pt idx="0">
                  <c:v>Total 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'Charges et FCF'!$D$5:$I$5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'Charges et FCF'!$D$6:$I$6</c:f>
              <c:numCache>
                <c:formatCode>#\ ##0\ "€"</c:formatCode>
                <c:ptCount val="6"/>
                <c:pt idx="0">
                  <c:v>435000</c:v>
                </c:pt>
                <c:pt idx="1">
                  <c:v>506688.00000000012</c:v>
                </c:pt>
                <c:pt idx="2">
                  <c:v>590190.18240000017</c:v>
                </c:pt>
                <c:pt idx="3">
                  <c:v>687453.52445952024</c:v>
                </c:pt>
                <c:pt idx="4">
                  <c:v>800745.86529044923</c:v>
                </c:pt>
                <c:pt idx="5">
                  <c:v>932708.78389031545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9-4EAD-8884-C964A4191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3129296"/>
        <c:axId val="1363127856"/>
      </c:barChart>
      <c:lineChart>
        <c:grouping val="standard"/>
        <c:varyColors val="0"/>
        <c:ser>
          <c:idx val="1"/>
          <c:order val="1"/>
          <c:tx>
            <c:strRef>
              <c:f>'Charges et FCF'!$B$10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'Charges et FCF'!$D$5:$I$5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'Charges et FCF'!$D$10:$I$10</c:f>
              <c:numCache>
                <c:formatCode>#\ ##0\ "€"</c:formatCode>
                <c:ptCount val="6"/>
                <c:pt idx="0">
                  <c:v>170350</c:v>
                </c:pt>
                <c:pt idx="1">
                  <c:v>212179.68000000005</c:v>
                </c:pt>
                <c:pt idx="2">
                  <c:v>261178.01126400009</c:v>
                </c:pt>
                <c:pt idx="3">
                  <c:v>318531.88992030732</c:v>
                </c:pt>
                <c:pt idx="4">
                  <c:v>385623.922627174</c:v>
                </c:pt>
                <c:pt idx="5">
                  <c:v>464064.6818690924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09-4EAD-8884-C964A4191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480464"/>
        <c:axId val="1454479024"/>
      </c:lineChart>
      <c:catAx>
        <c:axId val="136312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127856"/>
        <c:crosses val="autoZero"/>
        <c:auto val="1"/>
        <c:lblAlgn val="ctr"/>
        <c:lblOffset val="100"/>
        <c:noMultiLvlLbl val="0"/>
      </c:catAx>
      <c:valAx>
        <c:axId val="13631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129296"/>
        <c:crosses val="autoZero"/>
        <c:crossBetween val="between"/>
      </c:valAx>
      <c:valAx>
        <c:axId val="1454479024"/>
        <c:scaling>
          <c:orientation val="minMax"/>
        </c:scaling>
        <c:delete val="0"/>
        <c:axPos val="r"/>
        <c:numFmt formatCode="#\ ##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4480464"/>
        <c:crosses val="max"/>
        <c:crossBetween val="between"/>
      </c:valAx>
      <c:catAx>
        <c:axId val="145448046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5447902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FCF annuel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'Charges et FCF'!$D$5:$I$5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'Charges et FCF'!$D$18:$I$18</c:f>
              <c:numCache>
                <c:formatCode>#\ ##0\ "€"</c:formatCode>
                <c:ptCount val="6"/>
                <c:pt idx="0">
                  <c:v>107100</c:v>
                </c:pt>
                <c:pt idx="1">
                  <c:v>130048.92000000001</c:v>
                </c:pt>
                <c:pt idx="2">
                  <c:v>162004.32201600008</c:v>
                </c:pt>
                <c:pt idx="3">
                  <c:v>199436.4410842369</c:v>
                </c:pt>
                <c:pt idx="4">
                  <c:v>243252.04951091914</c:v>
                </c:pt>
                <c:pt idx="5">
                  <c:v>294507.43986503867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C-44A8-AFFB-A3574F50FC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07912976"/>
        <c:axId val="1407913456"/>
      </c:barChart>
      <c:catAx>
        <c:axId val="140791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7913456"/>
        <c:crosses val="autoZero"/>
        <c:auto val="1"/>
        <c:lblAlgn val="ctr"/>
        <c:lblOffset val="100"/>
        <c:noMultiLvlLbl val="0"/>
      </c:catAx>
      <c:valAx>
        <c:axId val="1407913456"/>
        <c:scaling>
          <c:orientation val="minMax"/>
        </c:scaling>
        <c:delete val="1"/>
        <c:axPos val="l"/>
        <c:numFmt formatCode="#\ ##0\ &quot;€&quot;" sourceLinked="1"/>
        <c:majorTickMark val="none"/>
        <c:minorTickMark val="none"/>
        <c:tickLblPos val="nextTo"/>
        <c:crossAx val="14079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latin typeface="Aptos Narrow (Corps)"/>
              </a:rPr>
              <a:t>CA</a:t>
            </a:r>
            <a:r>
              <a:rPr lang="fr-FR" sz="1600" b="1" baseline="0">
                <a:latin typeface="Aptos Narrow (Corps)"/>
              </a:rPr>
              <a:t> PAR SERVICES</a:t>
            </a:r>
            <a:endParaRPr lang="fr-FR" sz="1600" b="1">
              <a:latin typeface="Aptos Narrow (Corps)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1061517821979944"/>
          <c:y val="0.19007266814734591"/>
          <c:w val="0.37254090886263985"/>
          <c:h val="0.7142533959581510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E6-46EC-86C9-004F150C7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E6-46EC-86C9-004F150C7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E6-46EC-86C9-004F150C72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Ventes!$M$10:$M$12</c:f>
              <c:strCache>
                <c:ptCount val="3"/>
                <c:pt idx="0">
                  <c:v>Abonnement</c:v>
                </c:pt>
                <c:pt idx="1">
                  <c:v>Formation</c:v>
                </c:pt>
                <c:pt idx="2">
                  <c:v>Conseil</c:v>
                </c:pt>
              </c:strCache>
            </c:strRef>
          </c:cat>
          <c:val>
            <c:numRef>
              <c:f>Ventes!$N$10:$N$12</c:f>
              <c:numCache>
                <c:formatCode>#\ ##0\ "€"</c:formatCode>
                <c:ptCount val="3"/>
                <c:pt idx="0">
                  <c:v>74616.70271122524</c:v>
                </c:pt>
                <c:pt idx="1">
                  <c:v>343494.13144650235</c:v>
                </c:pt>
                <c:pt idx="2">
                  <c:v>514597.94973258785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E6-46EC-86C9-004F150C729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24975806028346"/>
          <c:y val="0.39865913585859608"/>
          <c:w val="0.14868446341112534"/>
          <c:h val="0.23272267379400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bord'!$H$54:$H$56</c:f>
              <c:strCache>
                <c:ptCount val="3"/>
                <c:pt idx="0">
                  <c:v>Base</c:v>
                </c:pt>
                <c:pt idx="1">
                  <c:v>Optimiste</c:v>
                </c:pt>
                <c:pt idx="2">
                  <c:v>Pessimiste</c:v>
                </c:pt>
              </c:strCache>
            </c:strRef>
          </c:cat>
          <c:val>
            <c:numRef>
              <c:f>'Tableau de bord'!$I$54:$I$56</c:f>
              <c:numCache>
                <c:formatCode>#\ ##0" €";[Red]\(#\ ##0" €"\);\-</c:formatCode>
                <c:ptCount val="3"/>
                <c:pt idx="0">
                  <c:v>740958.96654276398</c:v>
                </c:pt>
                <c:pt idx="1">
                  <c:v>932708.78389031533</c:v>
                </c:pt>
                <c:pt idx="2">
                  <c:v>556240.77613899461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7-4462-8F8C-4755CCE40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3884752"/>
        <c:axId val="594761984"/>
      </c:barChart>
      <c:catAx>
        <c:axId val="34388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4761984"/>
        <c:crosses val="autoZero"/>
        <c:auto val="1"/>
        <c:lblAlgn val="ctr"/>
        <c:lblOffset val="100"/>
        <c:noMultiLvlLbl val="0"/>
      </c:catAx>
      <c:valAx>
        <c:axId val="59476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&quot; €&quot;;[Red]\(#\ ##0&quot; €&quot;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388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Analyse!$B$7</c:f>
              <c:strCache>
                <c:ptCount val="1"/>
                <c:pt idx="0">
                  <c:v>Croissance du 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Analyse!$D$6:$H$6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Analyse!$D$7:$H$7</c:f>
              <c:numCache>
                <c:formatCode>0.00%</c:formatCode>
                <c:ptCount val="5"/>
                <c:pt idx="0">
                  <c:v>0.16480000000000028</c:v>
                </c:pt>
                <c:pt idx="1">
                  <c:v>0.16480000000000006</c:v>
                </c:pt>
                <c:pt idx="2">
                  <c:v>0.16480000000000006</c:v>
                </c:pt>
                <c:pt idx="3">
                  <c:v>0.16480000000000006</c:v>
                </c:pt>
                <c:pt idx="4">
                  <c:v>0.16480000000000028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4-4ACA-92F2-973C42549F1E}"/>
            </c:ext>
          </c:extLst>
        </c:ser>
        <c:ser>
          <c:idx val="1"/>
          <c:order val="1"/>
          <c:tx>
            <c:strRef>
              <c:f>Analyse!$B$8</c:f>
              <c:strCache>
                <c:ptCount val="1"/>
                <c:pt idx="0">
                  <c:v>Marge brute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Analyse!$D$6:$H$6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Analyse!$D$8:$H$8</c:f>
              <c:numCache>
                <c:formatCode>0.00%</c:formatCode>
                <c:ptCount val="5"/>
                <c:pt idx="0">
                  <c:v>0.61</c:v>
                </c:pt>
                <c:pt idx="1">
                  <c:v>0.61</c:v>
                </c:pt>
                <c:pt idx="2">
                  <c:v>0.61</c:v>
                </c:pt>
                <c:pt idx="3">
                  <c:v>0.61</c:v>
                </c:pt>
                <c:pt idx="4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4-4ACA-92F2-973C42549F1E}"/>
            </c:ext>
          </c:extLst>
        </c:ser>
        <c:ser>
          <c:idx val="2"/>
          <c:order val="2"/>
          <c:tx>
            <c:strRef>
              <c:f>Analyse!$B$9</c:f>
              <c:strCache>
                <c:ptCount val="1"/>
                <c:pt idx="0">
                  <c:v>Marge EBITDA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Analyse!$D$6:$H$6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Analyse!$D$9:$H$9</c:f>
              <c:numCache>
                <c:formatCode>0.00%</c:formatCode>
                <c:ptCount val="5"/>
                <c:pt idx="0">
                  <c:v>0.41875805229253504</c:v>
                </c:pt>
                <c:pt idx="1">
                  <c:v>0.44253194826441089</c:v>
                </c:pt>
                <c:pt idx="2">
                  <c:v>0.46335043546505761</c:v>
                </c:pt>
                <c:pt idx="3">
                  <c:v>0.48158091017716237</c:v>
                </c:pt>
                <c:pt idx="4">
                  <c:v>0.49754509648068823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64-4ACA-92F2-973C42549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225232"/>
        <c:axId val="601224752"/>
      </c:lineChart>
      <c:catAx>
        <c:axId val="60122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1224752"/>
        <c:crosses val="autoZero"/>
        <c:auto val="1"/>
        <c:lblAlgn val="ctr"/>
        <c:lblOffset val="100"/>
        <c:noMultiLvlLbl val="0"/>
      </c:catAx>
      <c:valAx>
        <c:axId val="6012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122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259012</xdr:colOff>
      <xdr:row>15</xdr:row>
      <xdr:rowOff>185207</xdr:rowOff>
    </xdr:from>
    <xdr:to>
      <xdr:col>6</xdr:col>
      <xdr:colOff>8820</xdr:colOff>
      <xdr:row>31</xdr:row>
      <xdr:rowOff>167569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63AFEDE-8AB4-48E3-BFEC-9BCCBA592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259012</xdr:colOff>
      <xdr:row>33</xdr:row>
      <xdr:rowOff>0</xdr:rowOff>
    </xdr:from>
    <xdr:to>
      <xdr:col>5</xdr:col>
      <xdr:colOff>1144670</xdr:colOff>
      <xdr:row>47</xdr:row>
      <xdr:rowOff>169779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D8CFECCD-DCC2-4222-9A37-D2848EA0F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726907</xdr:colOff>
      <xdr:row>33</xdr:row>
      <xdr:rowOff>0</xdr:rowOff>
    </xdr:from>
    <xdr:to>
      <xdr:col>11</xdr:col>
      <xdr:colOff>1049514</xdr:colOff>
      <xdr:row>47</xdr:row>
      <xdr:rowOff>169779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479F30D0-7AB1-4976-9DC3-83B58B5AF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7055</xdr:colOff>
      <xdr:row>49</xdr:row>
      <xdr:rowOff>4233</xdr:rowOff>
    </xdr:from>
    <xdr:to>
      <xdr:col>5</xdr:col>
      <xdr:colOff>1136729</xdr:colOff>
      <xdr:row>64</xdr:row>
      <xdr:rowOff>31358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CCDDF3-19EC-2C9D-C322-CA269A5ED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729073</xdr:colOff>
      <xdr:row>15</xdr:row>
      <xdr:rowOff>180307</xdr:rowOff>
    </xdr:from>
    <xdr:to>
      <xdr:col>11</xdr:col>
      <xdr:colOff>1067153</xdr:colOff>
      <xdr:row>31</xdr:row>
      <xdr:rowOff>167570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9A00A21-3F3D-496F-BEE8-A75F7011E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Projet%20analyse%20financiere_dashboard_pro.xlsx" TargetMode="External"/><Relationship Id="rId2" Type="http://schemas.openxmlformats.org/officeDocument/2006/relationships/externalLinkPath" Target="file:///C:\Users\User\Downloads\Projet%20analyse%20financiere_dashboard_pro.xlsx" TargetMode="External"/><Relationship Id="rId1" Type="http://schemas.openxmlformats.org/officeDocument/2006/relationships/externalLinkPath" Target="/Users/User/Downloads/Projet%20analyse%20financiere_dashboard_p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ypothèses"/>
      <sheetName val="Ventes"/>
      <sheetName val="Charges et FCF"/>
      <sheetName val="Analyse"/>
      <sheetName val="Tableau de bord"/>
    </sheetNames>
    <sheetDataSet>
      <sheetData sheetId="0"/>
      <sheetData sheetId="1" refreshError="1"/>
      <sheetData sheetId="2" refreshError="1"/>
      <sheetData sheetId="3"/>
      <sheetData sheetId="4">
        <row r="2">
          <cell r="T2" t="str">
            <v>2025A</v>
          </cell>
          <cell r="U2" t="str">
            <v>2026E</v>
          </cell>
          <cell r="V2" t="str">
            <v>2027E</v>
          </cell>
          <cell r="W2" t="str">
            <v>2028E</v>
          </cell>
          <cell r="X2" t="str">
            <v>2029E</v>
          </cell>
          <cell r="Y2" t="str">
            <v>2030E</v>
          </cell>
        </row>
        <row r="5">
          <cell r="T5">
            <v>0.32160919540229888</v>
          </cell>
          <cell r="U5">
            <v>0.32585060097521684</v>
          </cell>
          <cell r="V5">
            <v>0.33000963347722145</v>
          </cell>
          <cell r="W5">
            <v>0.33408789268996392</v>
          </cell>
          <cell r="X5">
            <v>0.33808694732545963</v>
          </cell>
          <cell r="Y5">
            <v>0.34200833562949678</v>
          </cell>
        </row>
        <row r="6">
          <cell r="T6">
            <v>0.54</v>
          </cell>
          <cell r="U6">
            <v>0.54</v>
          </cell>
          <cell r="V6">
            <v>0.53999999999999992</v>
          </cell>
          <cell r="W6">
            <v>0.54</v>
          </cell>
          <cell r="X6">
            <v>0.53999999999999992</v>
          </cell>
          <cell r="Y6">
            <v>0.54</v>
          </cell>
        </row>
        <row r="7">
          <cell r="T7">
            <v>0</v>
          </cell>
          <cell r="U7">
            <v>5.04E-2</v>
          </cell>
          <cell r="V7">
            <v>5.0400000000000222E-2</v>
          </cell>
          <cell r="W7">
            <v>5.04E-2</v>
          </cell>
          <cell r="X7">
            <v>5.0400000000000222E-2</v>
          </cell>
          <cell r="Y7">
            <v>5.0399999999999778E-2</v>
          </cell>
        </row>
        <row r="15">
          <cell r="U15" t="str">
            <v>Base</v>
          </cell>
          <cell r="V15" t="str">
            <v>Optimiste</v>
          </cell>
          <cell r="W15" t="str">
            <v>Pessimiste</v>
          </cell>
        </row>
        <row r="16">
          <cell r="T16" t="str">
            <v>CA 2030</v>
          </cell>
          <cell r="U16">
            <v>0.79441619864695012</v>
          </cell>
          <cell r="V16">
            <v>1</v>
          </cell>
          <cell r="W16">
            <v>0.59637132805689053</v>
          </cell>
        </row>
        <row r="17">
          <cell r="T17" t="str">
            <v>EBITDA 2030</v>
          </cell>
          <cell r="U17">
            <v>0.70005214797958903</v>
          </cell>
          <cell r="V17">
            <v>1</v>
          </cell>
          <cell r="W17">
            <v>0.4099391463246449</v>
          </cell>
        </row>
        <row r="18">
          <cell r="T18" t="str">
            <v>Marge EBITDA</v>
          </cell>
          <cell r="U18">
            <v>0.88120603015075383</v>
          </cell>
          <cell r="V18">
            <v>1</v>
          </cell>
          <cell r="W18">
            <v>0.68743718592964831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21A8-2B65-4485-B3C3-27960A22D491}">
  <dimension ref="A1:AK96"/>
  <sheetViews>
    <sheetView zoomScale="75" zoomScaleNormal="67" workbookViewId="0">
      <selection activeCell="F10" sqref="F10"/>
    </sheetView>
  </sheetViews>
  <sheetFormatPr baseColWidth="10" defaultRowHeight="14.5" x14ac:dyDescent="0.35"/>
  <cols>
    <col min="1" max="1" width="3.7265625" style="2" customWidth="1"/>
    <col min="2" max="2" width="19.6328125" bestFit="1" customWidth="1"/>
    <col min="3" max="3" width="13.90625" customWidth="1"/>
    <col min="4" max="4" width="15.7265625" bestFit="1" customWidth="1"/>
    <col min="5" max="5" width="12.81640625" customWidth="1"/>
    <col min="8" max="8" width="18.7265625" bestFit="1" customWidth="1"/>
    <col min="9" max="9" width="10.90625" style="14"/>
    <col min="14" max="14" width="14.36328125" customWidth="1"/>
    <col min="15" max="15" width="14.26953125" customWidth="1"/>
  </cols>
  <sheetData>
    <row r="1" spans="2:37" s="2" customFormat="1" x14ac:dyDescent="0.35">
      <c r="I1" s="13"/>
    </row>
    <row r="2" spans="2:37" ht="18.5" x14ac:dyDescent="0.45">
      <c r="B2" s="84" t="s">
        <v>73</v>
      </c>
      <c r="C2" s="84"/>
      <c r="D2" s="49"/>
      <c r="E2" s="49"/>
      <c r="F2" s="87" t="s">
        <v>0</v>
      </c>
      <c r="G2" s="87"/>
      <c r="H2" s="87"/>
      <c r="I2" s="87"/>
      <c r="J2" s="87"/>
      <c r="K2" s="87"/>
      <c r="L2" s="8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2:37" x14ac:dyDescent="0.35">
      <c r="B3" s="2"/>
      <c r="C3" s="2"/>
      <c r="D3" s="2"/>
      <c r="E3" s="2"/>
      <c r="F3" s="2"/>
      <c r="G3" s="2"/>
      <c r="H3" s="2"/>
      <c r="I3" s="1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2:37" x14ac:dyDescent="0.35">
      <c r="B4" s="17" t="s">
        <v>66</v>
      </c>
      <c r="C4" s="2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2:37" x14ac:dyDescent="0.35">
      <c r="B5" s="2"/>
      <c r="C5" s="2"/>
      <c r="D5" s="2"/>
      <c r="E5" s="2"/>
      <c r="F5" s="2"/>
      <c r="G5" s="2"/>
      <c r="H5" s="2"/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2:37" x14ac:dyDescent="0.35">
      <c r="B6" s="41" t="s">
        <v>1</v>
      </c>
      <c r="C6" s="42" t="s">
        <v>2</v>
      </c>
      <c r="D6" s="42" t="s">
        <v>3</v>
      </c>
      <c r="E6" s="43" t="s">
        <v>4</v>
      </c>
      <c r="F6" s="2"/>
      <c r="G6" s="2"/>
      <c r="H6" s="22" t="s">
        <v>12</v>
      </c>
      <c r="I6" s="20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2:37" ht="19" customHeight="1" x14ac:dyDescent="0.35">
      <c r="B7" s="51" t="s">
        <v>5</v>
      </c>
      <c r="C7" s="52">
        <v>0.08</v>
      </c>
      <c r="D7" s="52">
        <v>0.12</v>
      </c>
      <c r="E7" s="52">
        <v>0.04</v>
      </c>
      <c r="F7" s="2"/>
      <c r="G7" s="2"/>
      <c r="H7" s="15" t="s">
        <v>5</v>
      </c>
      <c r="I7" s="21">
        <f t="shared" ref="I7:I13" si="0">INDEX($C$7:$E$13,MATCH(H7,$B$7:$B$13,0),MATCH($C$4,$C$6:$E$6,0))</f>
        <v>0.12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2:37" ht="17.5" customHeight="1" x14ac:dyDescent="0.35">
      <c r="B8" s="51" t="s">
        <v>6</v>
      </c>
      <c r="C8" s="52">
        <v>0.03</v>
      </c>
      <c r="D8" s="52">
        <v>0.04</v>
      </c>
      <c r="E8" s="52">
        <v>0.01</v>
      </c>
      <c r="F8" s="2"/>
      <c r="G8" s="2"/>
      <c r="H8" s="15" t="s">
        <v>6</v>
      </c>
      <c r="I8" s="21">
        <f t="shared" si="0"/>
        <v>0.04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2:37" ht="22" customHeight="1" x14ac:dyDescent="0.35">
      <c r="B9" s="51" t="s">
        <v>7</v>
      </c>
      <c r="C9" s="52">
        <v>0.42</v>
      </c>
      <c r="D9" s="52">
        <v>0.39</v>
      </c>
      <c r="E9" s="52">
        <v>0.46</v>
      </c>
      <c r="F9" s="2"/>
      <c r="G9" s="2"/>
      <c r="H9" s="16" t="s">
        <v>7</v>
      </c>
      <c r="I9" s="21">
        <f t="shared" si="0"/>
        <v>0.39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2:37" ht="19.5" customHeight="1" x14ac:dyDescent="0.35">
      <c r="B10" s="15" t="s">
        <v>8</v>
      </c>
      <c r="C10" s="52">
        <v>0.02</v>
      </c>
      <c r="D10" s="52">
        <v>0.02</v>
      </c>
      <c r="E10" s="52">
        <v>0.03</v>
      </c>
      <c r="F10" s="2"/>
      <c r="G10" s="2"/>
      <c r="H10" s="15" t="s">
        <v>8</v>
      </c>
      <c r="I10" s="21">
        <f t="shared" si="0"/>
        <v>0.02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2:37" ht="19" customHeight="1" x14ac:dyDescent="0.35">
      <c r="B11" s="15" t="s">
        <v>9</v>
      </c>
      <c r="C11" s="52">
        <v>0.06</v>
      </c>
      <c r="D11" s="52">
        <v>0.05</v>
      </c>
      <c r="E11" s="52">
        <v>7.0000000000000007E-2</v>
      </c>
      <c r="F11" s="2"/>
      <c r="G11" s="2"/>
      <c r="H11" s="16" t="s">
        <v>14</v>
      </c>
      <c r="I11" s="21">
        <f t="shared" si="0"/>
        <v>0.05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2:37" ht="22" customHeight="1" x14ac:dyDescent="0.35">
      <c r="B12" s="15" t="s">
        <v>10</v>
      </c>
      <c r="C12" s="52">
        <v>0.08</v>
      </c>
      <c r="D12" s="52">
        <v>7.0000000000000007E-2</v>
      </c>
      <c r="E12" s="52">
        <v>0.09</v>
      </c>
      <c r="F12" s="2"/>
      <c r="G12" s="2"/>
      <c r="H12" s="16" t="s">
        <v>10</v>
      </c>
      <c r="I12" s="21">
        <f t="shared" si="0"/>
        <v>7.0000000000000007E-2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2:37" ht="21" customHeight="1" x14ac:dyDescent="0.35">
      <c r="B13" s="15" t="s">
        <v>11</v>
      </c>
      <c r="C13" s="52">
        <v>0.25</v>
      </c>
      <c r="D13" s="52">
        <v>0.25</v>
      </c>
      <c r="E13" s="52">
        <v>0.25</v>
      </c>
      <c r="F13" s="2"/>
      <c r="G13" s="2"/>
      <c r="H13" s="16" t="s">
        <v>11</v>
      </c>
      <c r="I13" s="21">
        <f t="shared" si="0"/>
        <v>0.25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2:37" s="2" customFormat="1" x14ac:dyDescent="0.35">
      <c r="I14" s="13"/>
    </row>
    <row r="15" spans="2:37" s="2" customFormat="1" x14ac:dyDescent="0.35">
      <c r="I15" s="13"/>
    </row>
    <row r="16" spans="2:37" s="2" customFormat="1" ht="17.5" customHeight="1" x14ac:dyDescent="0.35">
      <c r="B16" s="85" t="s">
        <v>15</v>
      </c>
      <c r="C16" s="86"/>
      <c r="D16" s="86"/>
      <c r="E16" s="86"/>
      <c r="I16" s="13"/>
    </row>
    <row r="17" spans="2:9" s="2" customFormat="1" x14ac:dyDescent="0.35">
      <c r="B17" s="7" t="s">
        <v>16</v>
      </c>
      <c r="C17" s="8" t="s">
        <v>21</v>
      </c>
      <c r="D17" s="8" t="s">
        <v>22</v>
      </c>
      <c r="I17" s="13"/>
    </row>
    <row r="18" spans="2:9" s="2" customFormat="1" x14ac:dyDescent="0.35">
      <c r="B18" s="15" t="s">
        <v>17</v>
      </c>
      <c r="C18" s="24">
        <v>1200</v>
      </c>
      <c r="D18" s="24">
        <v>29</v>
      </c>
      <c r="H18" s="28"/>
      <c r="I18" s="13"/>
    </row>
    <row r="19" spans="2:9" s="2" customFormat="1" x14ac:dyDescent="0.35">
      <c r="B19" s="15" t="s">
        <v>18</v>
      </c>
      <c r="C19" s="24">
        <v>180</v>
      </c>
      <c r="D19" s="24">
        <v>890</v>
      </c>
      <c r="H19" s="28"/>
      <c r="I19" s="13"/>
    </row>
    <row r="20" spans="2:9" s="2" customFormat="1" x14ac:dyDescent="0.35">
      <c r="B20" s="15" t="s">
        <v>19</v>
      </c>
      <c r="C20" s="24">
        <v>75</v>
      </c>
      <c r="D20" s="24">
        <v>3200</v>
      </c>
      <c r="H20" s="28"/>
      <c r="I20" s="13"/>
    </row>
    <row r="21" spans="2:9" s="2" customFormat="1" x14ac:dyDescent="0.35">
      <c r="B21" s="18"/>
      <c r="C21" s="5"/>
      <c r="D21" s="5"/>
      <c r="H21" s="28"/>
      <c r="I21" s="13"/>
    </row>
    <row r="22" spans="2:9" s="2" customFormat="1" x14ac:dyDescent="0.35">
      <c r="B22" s="18" t="s">
        <v>20</v>
      </c>
      <c r="C22" s="6">
        <v>95000</v>
      </c>
      <c r="D22" s="5"/>
    </row>
    <row r="23" spans="2:9" s="2" customFormat="1" x14ac:dyDescent="0.35">
      <c r="C23" s="5"/>
      <c r="D23" s="5"/>
      <c r="I23" s="13"/>
    </row>
    <row r="24" spans="2:9" s="2" customFormat="1" x14ac:dyDescent="0.35">
      <c r="I24" s="13"/>
    </row>
    <row r="25" spans="2:9" s="2" customFormat="1" ht="15.5" x14ac:dyDescent="0.35">
      <c r="G25" s="12"/>
      <c r="I25" s="13"/>
    </row>
    <row r="26" spans="2:9" s="2" customFormat="1" x14ac:dyDescent="0.35">
      <c r="B26" s="11"/>
      <c r="G26"/>
      <c r="I26" s="13"/>
    </row>
    <row r="27" spans="2:9" s="2" customFormat="1" x14ac:dyDescent="0.35">
      <c r="I27" s="13"/>
    </row>
    <row r="28" spans="2:9" s="2" customFormat="1" x14ac:dyDescent="0.35">
      <c r="I28" s="13"/>
    </row>
    <row r="29" spans="2:9" s="2" customFormat="1" x14ac:dyDescent="0.35">
      <c r="I29" s="13"/>
    </row>
    <row r="30" spans="2:9" s="2" customFormat="1" x14ac:dyDescent="0.35">
      <c r="I30" s="13"/>
    </row>
    <row r="31" spans="2:9" s="2" customFormat="1" x14ac:dyDescent="0.35">
      <c r="I31" s="13"/>
    </row>
    <row r="32" spans="2:9" s="2" customFormat="1" x14ac:dyDescent="0.35">
      <c r="I32" s="13"/>
    </row>
    <row r="33" spans="2:37" s="2" customFormat="1" x14ac:dyDescent="0.35">
      <c r="I33" s="13"/>
    </row>
    <row r="34" spans="2:37" s="2" customFormat="1" x14ac:dyDescent="0.35">
      <c r="I34" s="13"/>
    </row>
    <row r="35" spans="2:37" s="2" customFormat="1" x14ac:dyDescent="0.35">
      <c r="I35" s="13"/>
    </row>
    <row r="36" spans="2:37" s="2" customFormat="1" x14ac:dyDescent="0.35">
      <c r="I36" s="13"/>
    </row>
    <row r="37" spans="2:37" x14ac:dyDescent="0.35">
      <c r="B37" s="2"/>
      <c r="C37" s="2"/>
      <c r="D37" s="2"/>
      <c r="E37" s="2"/>
      <c r="F37" s="2"/>
      <c r="G37" s="2"/>
      <c r="H37" s="2"/>
      <c r="I37" s="1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2:37" x14ac:dyDescent="0.35">
      <c r="B38" s="2"/>
      <c r="C38" s="2"/>
      <c r="D38" s="2"/>
      <c r="E38" s="2"/>
      <c r="F38" s="2"/>
      <c r="G38" s="2"/>
      <c r="H38" s="2"/>
      <c r="I38" s="1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2:37" x14ac:dyDescent="0.35">
      <c r="B39" s="2"/>
      <c r="C39" s="2"/>
      <c r="D39" s="2"/>
      <c r="E39" s="2"/>
      <c r="F39" s="2"/>
      <c r="G39" s="2"/>
      <c r="H39" s="2"/>
      <c r="I39" s="1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2:37" x14ac:dyDescent="0.35">
      <c r="B40" s="2"/>
      <c r="C40" s="2"/>
      <c r="D40" s="2"/>
      <c r="E40" s="2"/>
      <c r="F40" s="2"/>
      <c r="G40" s="2"/>
      <c r="H40" s="2"/>
      <c r="I40" s="1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2:37" x14ac:dyDescent="0.35">
      <c r="B41" s="2"/>
      <c r="C41" s="2"/>
      <c r="D41" s="2"/>
      <c r="E41" s="2"/>
      <c r="F41" s="2"/>
      <c r="G41" s="2"/>
      <c r="H41" s="2"/>
      <c r="I41" s="1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2:37" x14ac:dyDescent="0.35">
      <c r="B42" s="2"/>
      <c r="C42" s="2"/>
      <c r="D42" s="2"/>
      <c r="E42" s="2"/>
      <c r="F42" s="2"/>
      <c r="G42" s="2"/>
      <c r="H42" s="2"/>
      <c r="I42" s="1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2:37" x14ac:dyDescent="0.35">
      <c r="B43" s="2"/>
      <c r="C43" s="2"/>
      <c r="D43" s="2"/>
      <c r="E43" s="2"/>
      <c r="F43" s="2"/>
      <c r="G43" s="2"/>
      <c r="H43" s="2"/>
      <c r="I43" s="1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2:37" x14ac:dyDescent="0.35">
      <c r="B44" s="2"/>
      <c r="C44" s="2"/>
      <c r="D44" s="2"/>
      <c r="E44" s="2"/>
      <c r="F44" s="2"/>
      <c r="G44" s="2"/>
      <c r="H44" s="2"/>
      <c r="I44" s="1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2:37" x14ac:dyDescent="0.35">
      <c r="B45" s="2"/>
      <c r="C45" s="2"/>
      <c r="D45" s="2"/>
      <c r="E45" s="2"/>
      <c r="F45" s="2"/>
      <c r="G45" s="2"/>
      <c r="H45" s="2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2:37" x14ac:dyDescent="0.35">
      <c r="B46" s="2"/>
      <c r="C46" s="2"/>
      <c r="D46" s="2"/>
      <c r="E46" s="2"/>
      <c r="F46" s="2"/>
      <c r="G46" s="2"/>
      <c r="H46" s="2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2:37" x14ac:dyDescent="0.35">
      <c r="B47" s="2"/>
      <c r="C47" s="2"/>
      <c r="D47" s="2"/>
      <c r="E47" s="2"/>
      <c r="F47" s="2"/>
      <c r="G47" s="2"/>
      <c r="H47" s="2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2:37" x14ac:dyDescent="0.35">
      <c r="B48" s="2"/>
      <c r="C48" s="2"/>
      <c r="D48" s="2"/>
      <c r="E48" s="2"/>
      <c r="F48" s="2"/>
      <c r="G48" s="2"/>
      <c r="H48" s="2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2:37" x14ac:dyDescent="0.35">
      <c r="B49" s="2"/>
      <c r="C49" s="2"/>
      <c r="D49" s="2"/>
      <c r="E49" s="2"/>
      <c r="F49" s="2"/>
      <c r="G49" s="2"/>
      <c r="H49" s="2"/>
      <c r="I49" s="1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2:37" x14ac:dyDescent="0.35">
      <c r="B50" s="2"/>
      <c r="C50" s="2"/>
      <c r="D50" s="2"/>
      <c r="E50" s="2"/>
      <c r="F50" s="2"/>
      <c r="G50" s="2"/>
      <c r="H50" s="2"/>
      <c r="I50" s="1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2:37" x14ac:dyDescent="0.35">
      <c r="B51" s="2"/>
      <c r="C51" s="2"/>
      <c r="D51" s="2"/>
      <c r="E51" s="2"/>
      <c r="F51" s="2"/>
      <c r="G51" s="2"/>
      <c r="H51" s="2"/>
      <c r="I51" s="1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2:37" x14ac:dyDescent="0.35">
      <c r="B52" s="2"/>
      <c r="C52" s="2"/>
      <c r="D52" s="2"/>
      <c r="E52" s="2"/>
      <c r="F52" s="2"/>
      <c r="G52" s="2"/>
      <c r="H52" s="2"/>
      <c r="I52" s="1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2:37" x14ac:dyDescent="0.35">
      <c r="B53" s="2"/>
      <c r="C53" s="2"/>
      <c r="D53" s="2"/>
      <c r="E53" s="2"/>
      <c r="F53" s="2"/>
      <c r="G53" s="2"/>
      <c r="H53" s="2"/>
      <c r="I53" s="1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2:37" x14ac:dyDescent="0.35">
      <c r="B54" s="2"/>
      <c r="C54" s="2"/>
      <c r="D54" s="2"/>
      <c r="E54" s="2"/>
      <c r="F54" s="2"/>
      <c r="G54" s="2"/>
      <c r="H54" s="2"/>
      <c r="I54" s="1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2:37" x14ac:dyDescent="0.35">
      <c r="B55" s="2"/>
      <c r="C55" s="2"/>
      <c r="D55" s="2"/>
      <c r="E55" s="2"/>
      <c r="F55" s="2"/>
      <c r="G55" s="2"/>
      <c r="H55" s="2"/>
      <c r="I55" s="1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2:37" x14ac:dyDescent="0.35">
      <c r="B56" s="2"/>
      <c r="C56" s="2"/>
      <c r="D56" s="2"/>
      <c r="E56" s="2"/>
      <c r="F56" s="2"/>
      <c r="G56" s="2"/>
      <c r="H56" s="2"/>
      <c r="I56" s="1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2:37" x14ac:dyDescent="0.35">
      <c r="B57" s="2"/>
      <c r="C57" s="2"/>
      <c r="D57" s="2"/>
      <c r="E57" s="2"/>
      <c r="F57" s="2"/>
      <c r="G57" s="2"/>
      <c r="H57" s="2"/>
      <c r="I57" s="1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2:37" x14ac:dyDescent="0.35">
      <c r="B58" s="2"/>
      <c r="C58" s="2"/>
      <c r="D58" s="2"/>
      <c r="E58" s="2"/>
      <c r="F58" s="2"/>
      <c r="G58" s="2"/>
      <c r="H58" s="2"/>
      <c r="I58" s="1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2:37" x14ac:dyDescent="0.35">
      <c r="B59" s="2"/>
      <c r="C59" s="2"/>
      <c r="D59" s="2"/>
      <c r="E59" s="2"/>
      <c r="F59" s="2"/>
      <c r="G59" s="2"/>
      <c r="H59" s="2"/>
      <c r="I59" s="1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2:37" x14ac:dyDescent="0.35">
      <c r="B60" s="2"/>
      <c r="C60" s="2"/>
      <c r="D60" s="2"/>
      <c r="E60" s="2"/>
      <c r="F60" s="2"/>
      <c r="G60" s="2"/>
      <c r="H60" s="2"/>
      <c r="I60" s="1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2:37" x14ac:dyDescent="0.35">
      <c r="B61" s="2"/>
      <c r="C61" s="2"/>
      <c r="D61" s="2"/>
      <c r="E61" s="2"/>
      <c r="F61" s="2"/>
      <c r="G61" s="2"/>
      <c r="H61" s="2"/>
      <c r="I61" s="1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2:37" x14ac:dyDescent="0.35">
      <c r="B62" s="2"/>
      <c r="C62" s="2"/>
      <c r="D62" s="2"/>
      <c r="E62" s="2"/>
      <c r="F62" s="2"/>
      <c r="G62" s="2"/>
      <c r="H62" s="2"/>
      <c r="I62" s="1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2:37" x14ac:dyDescent="0.35">
      <c r="B63" s="2"/>
      <c r="C63" s="2"/>
      <c r="D63" s="2"/>
      <c r="E63" s="2"/>
      <c r="F63" s="2"/>
      <c r="G63" s="2"/>
      <c r="H63" s="2"/>
      <c r="I63" s="1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2:37" x14ac:dyDescent="0.35">
      <c r="B64" s="2"/>
      <c r="C64" s="2"/>
      <c r="D64" s="2"/>
      <c r="E64" s="2"/>
      <c r="F64" s="2"/>
      <c r="G64" s="2"/>
      <c r="H64" s="2"/>
      <c r="I64" s="1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2:37" x14ac:dyDescent="0.35">
      <c r="B65" s="2"/>
      <c r="C65" s="2"/>
      <c r="D65" s="2"/>
      <c r="E65" s="2"/>
      <c r="F65" s="2"/>
      <c r="G65" s="2"/>
      <c r="H65" s="2"/>
      <c r="I65" s="1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2:37" x14ac:dyDescent="0.35">
      <c r="B66" s="2"/>
      <c r="C66" s="2"/>
      <c r="D66" s="2"/>
      <c r="E66" s="2"/>
      <c r="F66" s="2"/>
      <c r="G66" s="2"/>
      <c r="H66" s="2"/>
      <c r="I66" s="1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2:37" x14ac:dyDescent="0.35">
      <c r="B67" s="2"/>
      <c r="C67" s="2"/>
      <c r="D67" s="2"/>
      <c r="E67" s="2"/>
      <c r="F67" s="2"/>
      <c r="G67" s="2"/>
      <c r="H67" s="2"/>
      <c r="I67" s="1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2:37" x14ac:dyDescent="0.35">
      <c r="B68" s="2"/>
      <c r="C68" s="2"/>
      <c r="D68" s="2"/>
      <c r="E68" s="2"/>
      <c r="F68" s="2"/>
      <c r="G68" s="2"/>
      <c r="H68" s="2"/>
      <c r="I68" s="1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2:37" x14ac:dyDescent="0.35">
      <c r="B69" s="2"/>
      <c r="C69" s="2"/>
      <c r="D69" s="2"/>
      <c r="E69" s="2"/>
      <c r="F69" s="2"/>
      <c r="G69" s="2"/>
      <c r="H69" s="2"/>
      <c r="I69" s="1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2:37" x14ac:dyDescent="0.35">
      <c r="B70" s="2"/>
      <c r="C70" s="2"/>
      <c r="D70" s="2"/>
      <c r="E70" s="2"/>
      <c r="F70" s="2"/>
      <c r="G70" s="2"/>
      <c r="H70" s="2"/>
      <c r="I70" s="1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2:37" x14ac:dyDescent="0.35">
      <c r="B71" s="2"/>
      <c r="C71" s="2"/>
      <c r="D71" s="2"/>
      <c r="E71" s="2"/>
      <c r="F71" s="2"/>
      <c r="G71" s="2"/>
      <c r="H71" s="2"/>
      <c r="I71" s="1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2:37" x14ac:dyDescent="0.35">
      <c r="B72" s="2"/>
      <c r="C72" s="2"/>
      <c r="D72" s="2"/>
      <c r="E72" s="2"/>
      <c r="F72" s="2"/>
      <c r="G72" s="2"/>
      <c r="H72" s="2"/>
      <c r="I72" s="1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2:37" x14ac:dyDescent="0.35">
      <c r="B73" s="2"/>
      <c r="C73" s="2"/>
      <c r="D73" s="2"/>
      <c r="E73" s="2"/>
      <c r="F73" s="2"/>
      <c r="G73" s="2"/>
      <c r="H73" s="2"/>
      <c r="I73" s="1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2:37" x14ac:dyDescent="0.35">
      <c r="B74" s="2"/>
      <c r="C74" s="2"/>
      <c r="D74" s="2"/>
      <c r="E74" s="2"/>
      <c r="F74" s="2"/>
      <c r="G74" s="2"/>
      <c r="H74" s="2"/>
      <c r="I74" s="1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2:37" x14ac:dyDescent="0.35">
      <c r="B75" s="2"/>
      <c r="C75" s="2"/>
      <c r="D75" s="2"/>
      <c r="E75" s="2"/>
      <c r="F75" s="2"/>
      <c r="G75" s="2"/>
      <c r="H75" s="2"/>
      <c r="I75" s="1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2:37" x14ac:dyDescent="0.35">
      <c r="B76" s="2"/>
      <c r="C76" s="2"/>
      <c r="D76" s="2"/>
      <c r="E76" s="2"/>
      <c r="F76" s="2"/>
      <c r="G76" s="2"/>
      <c r="H76" s="2"/>
      <c r="I76" s="1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2:37" x14ac:dyDescent="0.35">
      <c r="B77" s="2"/>
      <c r="C77" s="2"/>
      <c r="D77" s="2"/>
      <c r="E77" s="2"/>
      <c r="F77" s="2"/>
      <c r="G77" s="2"/>
      <c r="H77" s="2"/>
      <c r="I77" s="1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2:37" x14ac:dyDescent="0.35">
      <c r="B78" s="2"/>
      <c r="C78" s="2"/>
      <c r="D78" s="2"/>
      <c r="E78" s="2"/>
      <c r="F78" s="2"/>
      <c r="G78" s="2"/>
      <c r="H78" s="2"/>
      <c r="I78" s="1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2:37" x14ac:dyDescent="0.35">
      <c r="B79" s="2"/>
      <c r="C79" s="2"/>
      <c r="D79" s="2"/>
      <c r="E79" s="2"/>
      <c r="F79" s="2"/>
      <c r="G79" s="2"/>
      <c r="H79" s="2"/>
      <c r="I79" s="1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2:37" x14ac:dyDescent="0.35">
      <c r="B80" s="2"/>
      <c r="C80" s="2"/>
      <c r="D80" s="2"/>
      <c r="E80" s="2"/>
      <c r="F80" s="2"/>
      <c r="G80" s="2"/>
      <c r="H80" s="2"/>
      <c r="I80" s="1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2:37" x14ac:dyDescent="0.35">
      <c r="B81" s="2"/>
      <c r="C81" s="2"/>
      <c r="D81" s="2"/>
      <c r="E81" s="2"/>
      <c r="F81" s="2"/>
      <c r="G81" s="2"/>
      <c r="H81" s="2"/>
      <c r="I81" s="1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2:37" x14ac:dyDescent="0.35">
      <c r="B82" s="2"/>
      <c r="C82" s="2"/>
      <c r="D82" s="2"/>
      <c r="E82" s="2"/>
      <c r="F82" s="2"/>
      <c r="G82" s="2"/>
      <c r="H82" s="2"/>
      <c r="I82" s="1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2:37" x14ac:dyDescent="0.35">
      <c r="B83" s="2"/>
      <c r="C83" s="2"/>
      <c r="D83" s="2"/>
      <c r="E83" s="2"/>
      <c r="F83" s="2"/>
      <c r="G83" s="2"/>
      <c r="H83" s="2"/>
      <c r="I83" s="1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2:37" x14ac:dyDescent="0.35">
      <c r="B84" s="2"/>
      <c r="C84" s="2"/>
      <c r="D84" s="2"/>
      <c r="E84" s="2"/>
      <c r="F84" s="2"/>
      <c r="G84" s="2"/>
      <c r="H84" s="2"/>
      <c r="I84" s="1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2:37" x14ac:dyDescent="0.35">
      <c r="B85" s="2"/>
      <c r="C85" s="2"/>
      <c r="D85" s="2"/>
      <c r="E85" s="2"/>
      <c r="F85" s="2"/>
      <c r="G85" s="2"/>
      <c r="H85" s="2"/>
      <c r="I85" s="1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2:37" x14ac:dyDescent="0.35">
      <c r="B86" s="2"/>
      <c r="C86" s="2"/>
      <c r="D86" s="2"/>
      <c r="E86" s="2"/>
      <c r="F86" s="2"/>
      <c r="G86" s="2"/>
      <c r="H86" s="2"/>
      <c r="I86" s="1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2:37" x14ac:dyDescent="0.35">
      <c r="B87" s="2"/>
      <c r="C87" s="2"/>
      <c r="D87" s="2"/>
      <c r="E87" s="2"/>
      <c r="F87" s="2"/>
      <c r="G87" s="2"/>
      <c r="H87" s="2"/>
      <c r="I87" s="1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2:37" x14ac:dyDescent="0.35">
      <c r="B88" s="2"/>
      <c r="C88" s="2"/>
      <c r="D88" s="2"/>
      <c r="E88" s="2"/>
      <c r="F88" s="2"/>
      <c r="G88" s="2"/>
      <c r="H88" s="2"/>
      <c r="I88" s="1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2:37" x14ac:dyDescent="0.35">
      <c r="B89" s="2"/>
      <c r="C89" s="2"/>
      <c r="D89" s="2"/>
      <c r="E89" s="2"/>
      <c r="F89" s="2"/>
      <c r="G89" s="2"/>
      <c r="H89" s="2"/>
      <c r="I89" s="1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2:37" x14ac:dyDescent="0.35">
      <c r="B90" s="2"/>
      <c r="C90" s="2"/>
      <c r="D90" s="2"/>
      <c r="E90" s="2"/>
      <c r="F90" s="2"/>
      <c r="G90" s="2"/>
      <c r="H90" s="2"/>
      <c r="I90" s="1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2:37" x14ac:dyDescent="0.35">
      <c r="B91" s="2"/>
      <c r="C91" s="2"/>
      <c r="D91" s="2"/>
      <c r="E91" s="2"/>
      <c r="F91" s="2"/>
      <c r="G91" s="2"/>
      <c r="H91" s="2"/>
      <c r="I91" s="1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2:37" x14ac:dyDescent="0.35">
      <c r="B92" s="2"/>
      <c r="C92" s="2"/>
      <c r="D92" s="2"/>
      <c r="E92" s="2"/>
      <c r="F92" s="2"/>
      <c r="G92" s="2"/>
      <c r="H92" s="2"/>
      <c r="I92" s="1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2:37" x14ac:dyDescent="0.35">
      <c r="B93" s="2"/>
      <c r="C93" s="2"/>
      <c r="D93" s="2"/>
      <c r="E93" s="2"/>
      <c r="F93" s="2"/>
      <c r="G93" s="2"/>
      <c r="H93" s="2"/>
      <c r="I93" s="1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2:37" x14ac:dyDescent="0.35">
      <c r="B94" s="2"/>
      <c r="C94" s="2"/>
      <c r="D94" s="2"/>
      <c r="E94" s="2"/>
      <c r="F94" s="2"/>
      <c r="G94" s="2"/>
      <c r="H94" s="2"/>
      <c r="I94" s="1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2:37" x14ac:dyDescent="0.35">
      <c r="B95" s="2"/>
      <c r="C95" s="2"/>
      <c r="D95" s="2"/>
      <c r="E95" s="2"/>
      <c r="F95" s="2"/>
      <c r="G95" s="2"/>
      <c r="H95" s="2"/>
      <c r="I95" s="1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37" x14ac:dyDescent="0.35">
      <c r="B96" s="2"/>
      <c r="C96" s="2"/>
      <c r="D96" s="2"/>
      <c r="E96" s="2"/>
      <c r="F96" s="2"/>
      <c r="G96" s="2"/>
      <c r="H96" s="2"/>
      <c r="I96" s="1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</sheetData>
  <scenarios current="0" show="0" sqref="K18:K24">
    <scenario name="Base" locked="1" count="7" user="User" comment="Créé par User le 10/03/2026">
      <inputCells r="C7" val="0,08" numFmtId="10"/>
      <inputCells r="C8" val="0,03" numFmtId="10"/>
      <inputCells r="C9" val="0,42" numFmtId="10"/>
      <inputCells r="C10" val="0,02" numFmtId="10"/>
      <inputCells r="C11" val="0,06" numFmtId="10"/>
      <inputCells r="C12" val="0,08" numFmtId="10"/>
      <inputCells r="C13" val="0,25" numFmtId="10"/>
    </scenario>
    <scenario name="Optimiste" locked="1" count="7" user="User" comment="Créé par User le 10/03/2026">
      <inputCells r="D7" val="0,12" numFmtId="10"/>
      <inputCells r="D8" val="0,04" numFmtId="10"/>
      <inputCells r="D9" val="0,39" numFmtId="10"/>
      <inputCells r="D10" val="0,02" numFmtId="10"/>
      <inputCells r="D11" val="0,05" numFmtId="10"/>
      <inputCells r="D12" val="0,07" numFmtId="10"/>
      <inputCells r="D13" val="0,25" numFmtId="10"/>
    </scenario>
    <scenario name="Pessimiste" locked="1" count="7" user="User" comment="Créé par User le 10/03/2026">
      <inputCells r="E7" val="0,04" numFmtId="10"/>
      <inputCells r="E8" val="0,01" numFmtId="10"/>
      <inputCells r="E9" val="0,46" numFmtId="10"/>
      <inputCells r="E10" val="0,03" numFmtId="10"/>
      <inputCells r="E11" val="0,07" numFmtId="10"/>
      <inputCells r="E12" val="0,09" numFmtId="10"/>
      <inputCells r="E13" val="0,25" numFmtId="10"/>
    </scenario>
  </scenarios>
  <mergeCells count="3">
    <mergeCell ref="B16:E16"/>
    <mergeCell ref="F2:L2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81AC-62F0-4E2A-8CF9-E503A3FE6925}">
  <dimension ref="A1:Y80"/>
  <sheetViews>
    <sheetView topLeftCell="A4" zoomScale="85" workbookViewId="0">
      <selection activeCell="E21" sqref="E21"/>
    </sheetView>
  </sheetViews>
  <sheetFormatPr baseColWidth="10" defaultRowHeight="14.5" x14ac:dyDescent="0.35"/>
  <cols>
    <col min="1" max="1" width="3.6328125" customWidth="1"/>
    <col min="2" max="2" width="13.90625" customWidth="1"/>
    <col min="3" max="3" width="11.1796875" bestFit="1" customWidth="1"/>
    <col min="4" max="7" width="11" bestFit="1" customWidth="1"/>
    <col min="11" max="11" width="14.54296875" bestFit="1" customWidth="1"/>
  </cols>
  <sheetData>
    <row r="1" spans="1:2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.5" x14ac:dyDescent="0.45">
      <c r="A2" s="2"/>
      <c r="B2" s="84" t="s">
        <v>73</v>
      </c>
      <c r="C2" s="84"/>
      <c r="D2" s="49"/>
      <c r="E2" s="49"/>
      <c r="F2" s="87" t="s">
        <v>24</v>
      </c>
      <c r="G2" s="87"/>
      <c r="H2" s="87"/>
      <c r="I2" s="87"/>
      <c r="J2" s="87"/>
      <c r="K2" s="87"/>
      <c r="L2" s="8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2"/>
      <c r="B5" s="2"/>
      <c r="C5" s="2"/>
      <c r="D5" s="2"/>
      <c r="E5" s="2"/>
      <c r="F5" s="2"/>
      <c r="G5" s="2"/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2"/>
      <c r="B6" s="2"/>
      <c r="C6" s="19" t="s">
        <v>29</v>
      </c>
      <c r="D6" s="19" t="s">
        <v>30</v>
      </c>
      <c r="E6" s="19" t="s">
        <v>31</v>
      </c>
      <c r="F6" s="19" t="s">
        <v>32</v>
      </c>
      <c r="G6" s="19" t="s">
        <v>33</v>
      </c>
      <c r="H6" s="19" t="s">
        <v>34</v>
      </c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2"/>
      <c r="B7" s="9" t="s">
        <v>17</v>
      </c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1" customHeight="1" x14ac:dyDescent="0.35">
      <c r="A8" s="2"/>
      <c r="B8" s="2" t="s">
        <v>23</v>
      </c>
      <c r="C8" s="50">
        <f>Hypothèses!C18</f>
        <v>1200</v>
      </c>
      <c r="D8" s="50">
        <f>C8*(1+Hypothèses!$I$7)</f>
        <v>1344.0000000000002</v>
      </c>
      <c r="E8" s="50">
        <f>D8*(1+Hypothèses!$I$7)</f>
        <v>1505.2800000000004</v>
      </c>
      <c r="F8" s="50">
        <f>E8*(1+Hypothèses!$I$7)</f>
        <v>1685.9136000000005</v>
      </c>
      <c r="G8" s="50">
        <f>F8*(1+Hypothèses!$I$7)</f>
        <v>1888.2232320000007</v>
      </c>
      <c r="H8" s="50">
        <f>G8*(1+Hypothèses!$I$7)</f>
        <v>2114.8100198400011</v>
      </c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2"/>
      <c r="B9" s="2" t="s">
        <v>25</v>
      </c>
      <c r="C9" s="27">
        <f>Hypothèses!D18</f>
        <v>29</v>
      </c>
      <c r="D9" s="27">
        <f>C9*(1+Hypothèses!$I$8)</f>
        <v>30.16</v>
      </c>
      <c r="E9" s="27">
        <f>D9*(1+Hypothèses!$I$8)</f>
        <v>31.366400000000002</v>
      </c>
      <c r="F9" s="27">
        <f>E9*(1+Hypothèses!$I$8)</f>
        <v>32.621056000000003</v>
      </c>
      <c r="G9" s="27">
        <f>F9*(1+Hypothèses!$I$8)</f>
        <v>33.925898240000002</v>
      </c>
      <c r="H9" s="27">
        <f>G9*(1+Hypothèses!$I$8)</f>
        <v>35.282934169600004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2"/>
      <c r="B10" s="2" t="s">
        <v>26</v>
      </c>
      <c r="C10" s="27">
        <f>C9*C8</f>
        <v>34800</v>
      </c>
      <c r="D10" s="27">
        <f t="shared" ref="D10:H10" si="0">D9*D8</f>
        <v>40535.040000000008</v>
      </c>
      <c r="E10" s="27">
        <f t="shared" si="0"/>
        <v>47215.214592000018</v>
      </c>
      <c r="F10" s="27">
        <f t="shared" si="0"/>
        <v>54996.281956761624</v>
      </c>
      <c r="G10" s="27">
        <f t="shared" si="0"/>
        <v>64059.669223235942</v>
      </c>
      <c r="H10" s="27">
        <f t="shared" si="0"/>
        <v>74616.70271122524</v>
      </c>
      <c r="I10" s="2"/>
      <c r="J10" s="2"/>
      <c r="L10" s="2"/>
      <c r="M10" s="113" t="str">
        <f>B7</f>
        <v>Abonnement</v>
      </c>
      <c r="N10" s="114">
        <f>H10</f>
        <v>74616.70271122524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2"/>
      <c r="B11" s="9" t="s">
        <v>18</v>
      </c>
      <c r="C11" s="25"/>
      <c r="D11" s="25"/>
      <c r="E11" s="25"/>
      <c r="F11" s="25"/>
      <c r="G11" s="25"/>
      <c r="H11" s="25"/>
      <c r="I11" s="1"/>
      <c r="J11" s="2"/>
      <c r="K11" s="2"/>
      <c r="L11" s="2"/>
      <c r="M11" s="113" t="str">
        <f>B11</f>
        <v>Formation</v>
      </c>
      <c r="N11" s="114">
        <f>H14</f>
        <v>343494.13144650235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2" customHeight="1" x14ac:dyDescent="0.35">
      <c r="A12" s="2"/>
      <c r="B12" s="2" t="s">
        <v>23</v>
      </c>
      <c r="C12" s="50">
        <f>Hypothèses!C19</f>
        <v>180</v>
      </c>
      <c r="D12" s="50">
        <f>C12*(1+Hypothèses!$I$7)</f>
        <v>201.60000000000002</v>
      </c>
      <c r="E12" s="50">
        <f>D12*(1+Hypothèses!$I$7)</f>
        <v>225.79200000000006</v>
      </c>
      <c r="F12" s="50">
        <f>E12*(1+Hypothèses!$I$7)</f>
        <v>252.8870400000001</v>
      </c>
      <c r="G12" s="50">
        <f>F12*(1+Hypothèses!$I$7)</f>
        <v>283.23348480000016</v>
      </c>
      <c r="H12" s="50">
        <f>G12*(1+Hypothèses!$I$7)</f>
        <v>317.22150297600018</v>
      </c>
      <c r="I12" s="2"/>
      <c r="J12" s="2"/>
      <c r="K12" s="2"/>
      <c r="L12" s="2"/>
      <c r="M12" s="113" t="str">
        <f>B15</f>
        <v>Conseil</v>
      </c>
      <c r="N12" s="114">
        <f>H18</f>
        <v>514597.94973258785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2"/>
      <c r="B13" s="2" t="s">
        <v>25</v>
      </c>
      <c r="C13" s="27">
        <f>Hypothèses!D19</f>
        <v>890</v>
      </c>
      <c r="D13" s="27">
        <f>C13*(1+Hypothèses!$I$8)</f>
        <v>925.6</v>
      </c>
      <c r="E13" s="27">
        <f>D13*(1+Hypothèses!$I$8)</f>
        <v>962.62400000000002</v>
      </c>
      <c r="F13" s="27">
        <f>E13*(1+Hypothèses!$I$8)</f>
        <v>1001.12896</v>
      </c>
      <c r="G13" s="27">
        <f>F13*(1+Hypothèses!$I$8)</f>
        <v>1041.1741184</v>
      </c>
      <c r="H13" s="27">
        <f>G13*(1+Hypothèses!$I$8)</f>
        <v>1082.821083136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2"/>
      <c r="B14" s="2" t="s">
        <v>26</v>
      </c>
      <c r="C14" s="27">
        <f>C13*C12</f>
        <v>160200</v>
      </c>
      <c r="D14" s="27">
        <f>D13*D12</f>
        <v>186600.96000000002</v>
      </c>
      <c r="E14" s="27">
        <f t="shared" ref="E14" si="1">E13*E12</f>
        <v>217352.79820800005</v>
      </c>
      <c r="F14" s="27">
        <f t="shared" ref="F14" si="2">F13*F12</f>
        <v>253172.53935267849</v>
      </c>
      <c r="G14" s="27">
        <f t="shared" ref="G14" si="3">G13*G12</f>
        <v>294895.37383799994</v>
      </c>
      <c r="H14" s="27">
        <f t="shared" ref="H14" si="4">H13*H12</f>
        <v>343494.13144650235</v>
      </c>
      <c r="I14" s="2"/>
      <c r="J14" s="2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2"/>
      <c r="B15" s="9" t="s">
        <v>19</v>
      </c>
      <c r="C15" s="26"/>
      <c r="D15" s="26"/>
      <c r="E15" s="26"/>
      <c r="F15" s="26"/>
      <c r="G15" s="26"/>
      <c r="H15" s="26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1.5" customHeight="1" x14ac:dyDescent="0.35">
      <c r="A16" s="2"/>
      <c r="B16" s="2" t="s">
        <v>23</v>
      </c>
      <c r="C16" s="50">
        <f>Hypothèses!C20</f>
        <v>75</v>
      </c>
      <c r="D16" s="50">
        <f>C16*(1+Hypothèses!$I$7)</f>
        <v>84.000000000000014</v>
      </c>
      <c r="E16" s="50">
        <f>D16*(1+Hypothèses!$I$7)</f>
        <v>94.080000000000027</v>
      </c>
      <c r="F16" s="50">
        <f>E16*(1+Hypothèses!$I$7)</f>
        <v>105.36960000000003</v>
      </c>
      <c r="G16" s="50">
        <f>F16*(1+Hypothèses!$I$7)</f>
        <v>118.01395200000005</v>
      </c>
      <c r="H16" s="50">
        <f>G16*(1+Hypothèses!$I$7)</f>
        <v>132.17562624000007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2"/>
      <c r="B17" s="2" t="s">
        <v>25</v>
      </c>
      <c r="C17" s="27">
        <f>Hypothèses!D20</f>
        <v>3200</v>
      </c>
      <c r="D17" s="27">
        <f>C17*(1+Hypothèses!$I$8)</f>
        <v>3328</v>
      </c>
      <c r="E17" s="27">
        <f>D17*(1+Hypothèses!$I$8)</f>
        <v>3461.12</v>
      </c>
      <c r="F17" s="27">
        <f>E17*(1+Hypothèses!$I$8)</f>
        <v>3599.5648000000001</v>
      </c>
      <c r="G17" s="27">
        <f>F17*(1+Hypothèses!$I$8)</f>
        <v>3743.5473920000004</v>
      </c>
      <c r="H17" s="27">
        <f>G17*(1+Hypothèses!$I$8)</f>
        <v>3893.2892876800006</v>
      </c>
      <c r="I17" s="2"/>
      <c r="J17" s="2"/>
      <c r="K17" s="2"/>
      <c r="L17" s="2"/>
      <c r="M17" s="2"/>
      <c r="N17" s="2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2"/>
      <c r="B18" s="2" t="s">
        <v>26</v>
      </c>
      <c r="C18" s="27">
        <f>C17*C16</f>
        <v>240000</v>
      </c>
      <c r="D18" s="27">
        <f t="shared" ref="D18:H18" si="5">D17*D16</f>
        <v>279552.00000000006</v>
      </c>
      <c r="E18" s="27">
        <f t="shared" si="5"/>
        <v>325622.16960000008</v>
      </c>
      <c r="F18" s="27">
        <f t="shared" si="5"/>
        <v>379284.70315008011</v>
      </c>
      <c r="G18" s="27">
        <f t="shared" si="5"/>
        <v>441790.82222921343</v>
      </c>
      <c r="H18" s="27">
        <f t="shared" si="5"/>
        <v>514597.94973258785</v>
      </c>
      <c r="I18" s="2"/>
      <c r="J18" s="2"/>
      <c r="K18" s="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2"/>
      <c r="B19" s="2"/>
      <c r="C19" s="27"/>
      <c r="D19" s="27"/>
      <c r="E19" s="27"/>
      <c r="F19" s="27"/>
      <c r="G19" s="27"/>
      <c r="H19" s="2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2"/>
      <c r="B20" s="29" t="s">
        <v>27</v>
      </c>
      <c r="C20" s="30">
        <f>C10+C14+C18</f>
        <v>435000</v>
      </c>
      <c r="D20" s="30">
        <f t="shared" ref="D20:H20" si="6">D10+D14+D18</f>
        <v>506688.00000000012</v>
      </c>
      <c r="E20" s="30">
        <f t="shared" si="6"/>
        <v>590190.18240000017</v>
      </c>
      <c r="F20" s="30">
        <f t="shared" si="6"/>
        <v>687453.52445952024</v>
      </c>
      <c r="G20" s="30">
        <f t="shared" si="6"/>
        <v>800745.86529044923</v>
      </c>
      <c r="H20" s="30">
        <f t="shared" si="6"/>
        <v>932708.78389031545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2"/>
      <c r="B22" s="2"/>
      <c r="C22" s="2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70" spans="3:7" x14ac:dyDescent="0.35">
      <c r="C70" s="2"/>
      <c r="D70" s="2"/>
      <c r="E70" s="2"/>
      <c r="F70" s="2"/>
      <c r="G70" s="2"/>
    </row>
    <row r="71" spans="3:7" x14ac:dyDescent="0.35">
      <c r="C71" s="2"/>
      <c r="D71" s="2"/>
      <c r="E71" s="2"/>
      <c r="F71" s="2"/>
      <c r="G71" s="2"/>
    </row>
    <row r="72" spans="3:7" x14ac:dyDescent="0.35">
      <c r="C72" s="2"/>
      <c r="D72" s="2"/>
      <c r="E72" s="2"/>
      <c r="F72" s="2"/>
      <c r="G72" s="2"/>
    </row>
    <row r="73" spans="3:7" x14ac:dyDescent="0.35">
      <c r="C73" s="2"/>
      <c r="D73" s="2"/>
      <c r="E73" s="2"/>
      <c r="F73" s="2"/>
      <c r="G73" s="2"/>
    </row>
    <row r="74" spans="3:7" x14ac:dyDescent="0.35">
      <c r="C74" s="2"/>
      <c r="D74" s="2"/>
      <c r="E74" s="2"/>
      <c r="F74" s="2"/>
      <c r="G74" s="2"/>
    </row>
    <row r="75" spans="3:7" x14ac:dyDescent="0.35">
      <c r="C75" s="2"/>
      <c r="D75" s="2"/>
      <c r="E75" s="2"/>
      <c r="F75" s="2"/>
      <c r="G75" s="2"/>
    </row>
    <row r="76" spans="3:7" x14ac:dyDescent="0.35">
      <c r="C76" s="2"/>
      <c r="D76" s="2"/>
      <c r="E76" s="2"/>
      <c r="F76" s="2"/>
      <c r="G76" s="2"/>
    </row>
    <row r="77" spans="3:7" x14ac:dyDescent="0.35">
      <c r="C77" s="2"/>
      <c r="D77" s="2"/>
      <c r="E77" s="2"/>
      <c r="F77" s="2"/>
      <c r="G77" s="2"/>
    </row>
    <row r="78" spans="3:7" x14ac:dyDescent="0.35">
      <c r="C78" s="2"/>
      <c r="D78" s="2"/>
      <c r="E78" s="2"/>
      <c r="F78" s="2"/>
      <c r="G78" s="2"/>
    </row>
    <row r="79" spans="3:7" x14ac:dyDescent="0.35">
      <c r="C79" s="2"/>
      <c r="D79" s="2"/>
      <c r="E79" s="2"/>
      <c r="F79" s="2"/>
      <c r="G79" s="2"/>
    </row>
    <row r="80" spans="3:7" x14ac:dyDescent="0.35">
      <c r="C80" s="2"/>
      <c r="D80" s="2"/>
      <c r="E80" s="2"/>
      <c r="F80" s="2"/>
      <c r="G80" s="2"/>
    </row>
  </sheetData>
  <mergeCells count="2">
    <mergeCell ref="F2:L2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37A3-7BBC-45B8-9065-C397BEB711FC}">
  <dimension ref="A1:AA38"/>
  <sheetViews>
    <sheetView zoomScale="88" workbookViewId="0">
      <selection activeCell="K14" sqref="K14"/>
    </sheetView>
  </sheetViews>
  <sheetFormatPr baseColWidth="10" defaultRowHeight="14.5" x14ac:dyDescent="0.35"/>
  <cols>
    <col min="1" max="1" width="2" customWidth="1"/>
    <col min="2" max="2" width="27" customWidth="1"/>
    <col min="3" max="3" width="2.81640625" customWidth="1"/>
    <col min="4" max="7" width="11.08984375" bestFit="1" customWidth="1"/>
  </cols>
  <sheetData>
    <row r="1" spans="1:27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7" ht="18.5" x14ac:dyDescent="0.45">
      <c r="A2" s="2"/>
      <c r="B2" s="84" t="s">
        <v>73</v>
      </c>
      <c r="C2" s="84"/>
      <c r="D2" s="49"/>
      <c r="E2" s="49"/>
      <c r="F2" s="87" t="s">
        <v>28</v>
      </c>
      <c r="G2" s="87"/>
      <c r="H2" s="87"/>
      <c r="I2" s="87"/>
      <c r="J2" s="87"/>
      <c r="K2" s="87"/>
      <c r="L2" s="87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7" x14ac:dyDescent="0.35">
      <c r="A5" s="2"/>
      <c r="B5" s="2"/>
      <c r="C5" s="2"/>
      <c r="D5" s="19" t="s">
        <v>29</v>
      </c>
      <c r="E5" s="19" t="s">
        <v>30</v>
      </c>
      <c r="F5" s="19" t="s">
        <v>31</v>
      </c>
      <c r="G5" s="19" t="s">
        <v>32</v>
      </c>
      <c r="H5" s="19" t="s">
        <v>33</v>
      </c>
      <c r="I5" s="19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7" x14ac:dyDescent="0.35">
      <c r="A6" s="2"/>
      <c r="B6" s="10" t="s">
        <v>27</v>
      </c>
      <c r="C6" s="2"/>
      <c r="D6" s="32">
        <f>Ventes!C20</f>
        <v>435000</v>
      </c>
      <c r="E6" s="32">
        <f>Ventes!D20</f>
        <v>506688.00000000012</v>
      </c>
      <c r="F6" s="32">
        <f>Ventes!E20</f>
        <v>590190.18240000017</v>
      </c>
      <c r="G6" s="32">
        <f>Ventes!F20</f>
        <v>687453.52445952024</v>
      </c>
      <c r="H6" s="32">
        <f>Ventes!G20</f>
        <v>800745.86529044923</v>
      </c>
      <c r="I6" s="32">
        <f>Ventes!H20</f>
        <v>932708.78389031545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5">
      <c r="A7" s="2"/>
      <c r="B7" s="2" t="s">
        <v>35</v>
      </c>
      <c r="C7" s="2" t="s">
        <v>68</v>
      </c>
      <c r="D7" s="32">
        <f>D6*(Hypothèses!$I$9)</f>
        <v>169650</v>
      </c>
      <c r="E7" s="32">
        <f>E6*(Hypothèses!$I$9)</f>
        <v>197608.32000000007</v>
      </c>
      <c r="F7" s="32">
        <f>F6*(Hypothèses!$I$9)</f>
        <v>230174.17113600008</v>
      </c>
      <c r="G7" s="32">
        <f>G6*(Hypothèses!$I$9)</f>
        <v>268106.87453921291</v>
      </c>
      <c r="H7" s="32">
        <f>H6*(Hypothèses!$I$9)</f>
        <v>312290.88746327523</v>
      </c>
      <c r="I7" s="32">
        <f>I6*(Hypothèses!$I$9)</f>
        <v>363756.42571722303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5">
      <c r="A8" s="2"/>
      <c r="B8" s="2" t="s">
        <v>36</v>
      </c>
      <c r="C8" s="2"/>
      <c r="D8" s="33">
        <f>D6-D7</f>
        <v>265350</v>
      </c>
      <c r="E8" s="33">
        <f t="shared" ref="E8:I8" si="0">E6-E7</f>
        <v>309079.68000000005</v>
      </c>
      <c r="F8" s="33">
        <f t="shared" si="0"/>
        <v>360016.01126400009</v>
      </c>
      <c r="G8" s="33">
        <f t="shared" si="0"/>
        <v>419346.64992030733</v>
      </c>
      <c r="H8" s="33">
        <f t="shared" si="0"/>
        <v>488454.97782717401</v>
      </c>
      <c r="I8" s="33">
        <f t="shared" si="0"/>
        <v>568952.35817309236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5">
      <c r="A9" s="2"/>
      <c r="B9" s="2" t="s">
        <v>37</v>
      </c>
      <c r="C9" s="2" t="s">
        <v>68</v>
      </c>
      <c r="D9" s="32">
        <f>Hypothèses!C22</f>
        <v>95000</v>
      </c>
      <c r="E9" s="32">
        <f>D9+(D9*Hypothèses!$I$10)</f>
        <v>96900</v>
      </c>
      <c r="F9" s="32">
        <f>E9+(E9*Hypothèses!$I$10)</f>
        <v>98838</v>
      </c>
      <c r="G9" s="32">
        <f>F9+(F9*Hypothèses!$I$10)</f>
        <v>100814.76</v>
      </c>
      <c r="H9" s="32">
        <f>G9+(G9*Hypothèses!$I$10)</f>
        <v>102831.05519999999</v>
      </c>
      <c r="I9" s="32">
        <f>H9+(H9*Hypothèses!$I$10)</f>
        <v>104887.67630399999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5">
      <c r="A10" s="2"/>
      <c r="B10" s="10" t="s">
        <v>38</v>
      </c>
      <c r="C10" s="2"/>
      <c r="D10" s="33">
        <f>D8-D9</f>
        <v>170350</v>
      </c>
      <c r="E10" s="33">
        <f t="shared" ref="E10:H10" si="1">E8-E9</f>
        <v>212179.68000000005</v>
      </c>
      <c r="F10" s="33">
        <f t="shared" si="1"/>
        <v>261178.01126400009</v>
      </c>
      <c r="G10" s="33">
        <f t="shared" si="1"/>
        <v>318531.88992030732</v>
      </c>
      <c r="H10" s="33">
        <f t="shared" si="1"/>
        <v>385623.922627174</v>
      </c>
      <c r="I10" s="33">
        <f>I8-I9</f>
        <v>464064.6818690924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5">
      <c r="A11" s="2"/>
      <c r="B11" s="2" t="s">
        <v>39</v>
      </c>
      <c r="C11" s="2" t="s">
        <v>68</v>
      </c>
      <c r="D11" s="28">
        <f>D15/5</f>
        <v>4350</v>
      </c>
      <c r="E11" s="28">
        <f t="shared" ref="E11:I11" si="2">E15/5</f>
        <v>5066.8800000000019</v>
      </c>
      <c r="F11" s="28">
        <f t="shared" si="2"/>
        <v>5901.9018240000023</v>
      </c>
      <c r="G11" s="28">
        <f t="shared" si="2"/>
        <v>6874.535244595203</v>
      </c>
      <c r="H11" s="28">
        <f t="shared" si="2"/>
        <v>8007.4586529044927</v>
      </c>
      <c r="I11" s="28">
        <f t="shared" si="2"/>
        <v>9327.087838903155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5">
      <c r="A12" s="2"/>
      <c r="B12" s="2" t="s">
        <v>40</v>
      </c>
      <c r="C12" s="2"/>
      <c r="D12" s="31">
        <f>D10-D11</f>
        <v>166000</v>
      </c>
      <c r="E12" s="31">
        <f t="shared" ref="E12:I12" si="3">E10-E11</f>
        <v>207112.80000000005</v>
      </c>
      <c r="F12" s="31">
        <f t="shared" si="3"/>
        <v>255276.10944000009</v>
      </c>
      <c r="G12" s="31">
        <f t="shared" si="3"/>
        <v>311657.35467571212</v>
      </c>
      <c r="H12" s="31">
        <f t="shared" si="3"/>
        <v>377616.46397426951</v>
      </c>
      <c r="I12" s="31">
        <f t="shared" si="3"/>
        <v>454737.59403018927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5">
      <c r="A13" s="2"/>
      <c r="B13" s="2" t="s">
        <v>41</v>
      </c>
      <c r="C13" s="2" t="s">
        <v>68</v>
      </c>
      <c r="D13" s="28">
        <f>D12*Hypothèses!$I$13</f>
        <v>41500</v>
      </c>
      <c r="E13" s="28">
        <f>E12*Hypothèses!$I$13</f>
        <v>51778.200000000012</v>
      </c>
      <c r="F13" s="28">
        <f>F12*Hypothèses!$I$13</f>
        <v>63819.027360000022</v>
      </c>
      <c r="G13" s="28">
        <f>G12*Hypothèses!$I$13</f>
        <v>77914.338668928031</v>
      </c>
      <c r="H13" s="28">
        <f>H12*Hypothèses!$I$13</f>
        <v>94404.115993567379</v>
      </c>
      <c r="I13" s="28">
        <f>I12*Hypothèses!$I$13</f>
        <v>113684.39850754732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5">
      <c r="A14" s="2"/>
      <c r="B14" s="2" t="s">
        <v>42</v>
      </c>
      <c r="C14" s="2"/>
      <c r="D14" s="31">
        <f>D12-D13</f>
        <v>124500</v>
      </c>
      <c r="E14" s="31">
        <f t="shared" ref="E14:I14" si="4">E12-E13</f>
        <v>155334.60000000003</v>
      </c>
      <c r="F14" s="31">
        <f t="shared" si="4"/>
        <v>191457.08208000008</v>
      </c>
      <c r="G14" s="31">
        <f t="shared" si="4"/>
        <v>233743.01600678411</v>
      </c>
      <c r="H14" s="31">
        <f t="shared" si="4"/>
        <v>283212.34798070212</v>
      </c>
      <c r="I14" s="31">
        <f t="shared" si="4"/>
        <v>341053.19552264194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5">
      <c r="A15" s="2"/>
      <c r="B15" s="2" t="s">
        <v>43</v>
      </c>
      <c r="C15" s="2" t="s">
        <v>68</v>
      </c>
      <c r="D15" s="28">
        <f>D6*Hypothèses!$I$11</f>
        <v>21750</v>
      </c>
      <c r="E15" s="28">
        <f>E6*Hypothèses!$I$11</f>
        <v>25334.400000000009</v>
      </c>
      <c r="F15" s="28">
        <f>F6*Hypothèses!$I$11</f>
        <v>29509.50912000001</v>
      </c>
      <c r="G15" s="28">
        <f>G6*Hypothèses!$I$11</f>
        <v>34372.676222976013</v>
      </c>
      <c r="H15" s="28">
        <f>H6*Hypothèses!$I$11</f>
        <v>40037.293264522465</v>
      </c>
      <c r="I15" s="28">
        <f>I6*Hypothèses!$I$11</f>
        <v>46635.439194515777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5">
      <c r="A16" s="2"/>
      <c r="B16" s="2" t="s">
        <v>44</v>
      </c>
      <c r="C16" s="2"/>
      <c r="D16" s="28">
        <f>D6*Hypothèses!$I$12</f>
        <v>30450.000000000004</v>
      </c>
      <c r="E16" s="28">
        <f>E6*Hypothèses!$I$12</f>
        <v>35468.160000000011</v>
      </c>
      <c r="F16" s="28">
        <f>F6*Hypothèses!$I$12</f>
        <v>41313.312768000018</v>
      </c>
      <c r="G16" s="28">
        <f>G6*Hypothèses!$I$12</f>
        <v>48121.746712166423</v>
      </c>
      <c r="H16" s="28">
        <f>H6*Hypothèses!$I$12</f>
        <v>56052.210570331452</v>
      </c>
      <c r="I16" s="28">
        <f>I6*Hypothèses!$I$12</f>
        <v>65289.61487232209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5">
      <c r="A17" s="2"/>
      <c r="B17" s="2" t="s">
        <v>45</v>
      </c>
      <c r="C17" s="2" t="s">
        <v>68</v>
      </c>
      <c r="D17" s="28">
        <v>0</v>
      </c>
      <c r="E17" s="28">
        <f>E16-D16</f>
        <v>5018.1600000000071</v>
      </c>
      <c r="F17" s="28">
        <f t="shared" ref="F17:I17" si="5">F16-E16</f>
        <v>5845.1527680000072</v>
      </c>
      <c r="G17" s="28">
        <f t="shared" si="5"/>
        <v>6808.4339441664051</v>
      </c>
      <c r="H17" s="28">
        <f t="shared" si="5"/>
        <v>7930.4638581650288</v>
      </c>
      <c r="I17" s="28">
        <f t="shared" si="5"/>
        <v>9237.4043019906385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5">
      <c r="A18" s="2"/>
      <c r="B18" s="34" t="s">
        <v>46</v>
      </c>
      <c r="C18" s="29" t="s">
        <v>67</v>
      </c>
      <c r="D18" s="31">
        <f>D14+D11-D15-D17</f>
        <v>107100</v>
      </c>
      <c r="E18" s="31">
        <f t="shared" ref="E18:I18" si="6">E14+E11-E15-E17</f>
        <v>130048.92000000001</v>
      </c>
      <c r="F18" s="31">
        <f t="shared" si="6"/>
        <v>162004.32201600008</v>
      </c>
      <c r="G18" s="31">
        <f t="shared" si="6"/>
        <v>199436.4410842369</v>
      </c>
      <c r="H18" s="31">
        <f t="shared" si="6"/>
        <v>243252.04951091914</v>
      </c>
      <c r="I18" s="31">
        <f t="shared" si="6"/>
        <v>294507.43986503867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5">
      <c r="A20" s="2"/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5">
      <c r="A37" s="2"/>
      <c r="B37" s="2"/>
      <c r="C37" s="2"/>
      <c r="D37" s="2"/>
      <c r="E37" s="2"/>
      <c r="F37" s="2"/>
      <c r="G37" s="2"/>
      <c r="H37" s="2"/>
      <c r="I37" s="2"/>
    </row>
    <row r="38" spans="1:27" x14ac:dyDescent="0.35">
      <c r="A38" s="2"/>
      <c r="B38" s="2"/>
      <c r="C38" s="2"/>
      <c r="D38" s="2"/>
      <c r="E38" s="2"/>
      <c r="F38" s="2"/>
      <c r="G38" s="2"/>
      <c r="H38" s="2"/>
      <c r="I38" s="2"/>
    </row>
  </sheetData>
  <mergeCells count="2">
    <mergeCell ref="F2:L2"/>
    <mergeCell ref="B2:C2"/>
  </mergeCells>
  <pageMargins left="0.7" right="0.7" top="0.75" bottom="0.75" header="0.3" footer="0.3"/>
  <ignoredErrors>
    <ignoredError sqref="D11:I11 D9:I9 D13:I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CA2C-739D-46E6-9C2B-2B8ADA7B3A22}">
  <dimension ref="A1:V47"/>
  <sheetViews>
    <sheetView zoomScale="85" zoomScaleNormal="55" workbookViewId="0">
      <selection activeCell="F12" sqref="F12"/>
    </sheetView>
  </sheetViews>
  <sheetFormatPr baseColWidth="10" defaultRowHeight="14.5" x14ac:dyDescent="0.35"/>
  <cols>
    <col min="1" max="1" width="3.81640625" customWidth="1"/>
    <col min="2" max="2" width="26.453125" customWidth="1"/>
    <col min="3" max="3" width="9.26953125" bestFit="1" customWidth="1"/>
    <col min="4" max="4" width="13.08984375" customWidth="1"/>
    <col min="5" max="5" width="12.81640625" bestFit="1" customWidth="1"/>
    <col min="6" max="6" width="17.453125" bestFit="1" customWidth="1"/>
    <col min="7" max="7" width="13.90625" customWidth="1"/>
    <col min="8" max="8" width="12.7265625" bestFit="1" customWidth="1"/>
    <col min="9" max="9" width="17.90625" bestFit="1" customWidth="1"/>
    <col min="10" max="10" width="23.7265625" customWidth="1"/>
    <col min="11" max="11" width="12.26953125" customWidth="1"/>
    <col min="12" max="12" width="15.81640625" customWidth="1"/>
    <col min="13" max="13" width="17.6328125" customWidth="1"/>
    <col min="14" max="14" width="22.1796875" customWidth="1"/>
  </cols>
  <sheetData>
    <row r="1" spans="1:2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ht="18.5" x14ac:dyDescent="0.45">
      <c r="A2" s="2"/>
      <c r="B2" s="84" t="s">
        <v>73</v>
      </c>
      <c r="C2" s="84"/>
      <c r="D2" s="49"/>
      <c r="E2" s="49"/>
      <c r="F2" s="87" t="s">
        <v>52</v>
      </c>
      <c r="G2" s="87"/>
      <c r="H2" s="87"/>
      <c r="I2" s="87"/>
      <c r="J2" s="87"/>
      <c r="K2" s="87"/>
      <c r="L2" s="87"/>
      <c r="M2" s="2"/>
      <c r="N2" s="2"/>
      <c r="O2" s="2"/>
      <c r="P2" s="2"/>
      <c r="Q2" s="2"/>
      <c r="R2" s="2"/>
      <c r="S2" s="2"/>
      <c r="T2" s="2"/>
      <c r="U2" s="2"/>
    </row>
    <row r="3" spans="1:2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2" x14ac:dyDescent="0.35">
      <c r="A4" s="2"/>
      <c r="B4" s="35"/>
      <c r="C4" s="35"/>
      <c r="D4" s="35"/>
      <c r="E4" s="35"/>
      <c r="F4" s="35"/>
      <c r="G4" s="35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2" x14ac:dyDescent="0.35">
      <c r="A5" s="2"/>
      <c r="B5" s="35"/>
      <c r="C5" s="35"/>
      <c r="D5" s="35"/>
      <c r="E5" s="35"/>
      <c r="F5" s="35"/>
      <c r="G5" s="35"/>
      <c r="H5" s="3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x14ac:dyDescent="0.35">
      <c r="A6" s="2"/>
      <c r="B6" s="1"/>
      <c r="C6" s="19" t="s">
        <v>29</v>
      </c>
      <c r="D6" s="19" t="s">
        <v>30</v>
      </c>
      <c r="E6" s="19" t="s">
        <v>31</v>
      </c>
      <c r="F6" s="19" t="s">
        <v>32</v>
      </c>
      <c r="G6" s="19" t="s">
        <v>33</v>
      </c>
      <c r="H6" s="19" t="s">
        <v>34</v>
      </c>
      <c r="I6" s="2"/>
      <c r="J6" s="22" t="s">
        <v>53</v>
      </c>
      <c r="K6" s="61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2" x14ac:dyDescent="0.35">
      <c r="A7" s="2"/>
      <c r="B7" s="18" t="s">
        <v>47</v>
      </c>
      <c r="C7" s="37"/>
      <c r="D7" s="37">
        <f>('Charges et FCF'!E6/'Charges et FCF'!D6)-1</f>
        <v>0.16480000000000028</v>
      </c>
      <c r="E7" s="37">
        <f>('Charges et FCF'!F6/'Charges et FCF'!E6)-1</f>
        <v>0.16480000000000006</v>
      </c>
      <c r="F7" s="37">
        <f>('Charges et FCF'!G6/'Charges et FCF'!F6)-1</f>
        <v>0.16480000000000006</v>
      </c>
      <c r="G7" s="37">
        <f>('Charges et FCF'!H6/'Charges et FCF'!G6)-1</f>
        <v>0.16480000000000006</v>
      </c>
      <c r="H7" s="37">
        <f>('Charges et FCF'!I6/'Charges et FCF'!H6)-1</f>
        <v>0.16480000000000028</v>
      </c>
      <c r="I7" s="2"/>
      <c r="J7" s="60" t="s">
        <v>54</v>
      </c>
      <c r="K7" s="115">
        <f>Ventes!H20</f>
        <v>932708.78389031545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x14ac:dyDescent="0.35">
      <c r="A8" s="2"/>
      <c r="B8" s="18" t="s">
        <v>48</v>
      </c>
      <c r="C8" s="37">
        <f>'Charges et FCF'!D8/'Charges et FCF'!D6</f>
        <v>0.61</v>
      </c>
      <c r="D8" s="37">
        <f>'Charges et FCF'!E8/'Charges et FCF'!E6</f>
        <v>0.61</v>
      </c>
      <c r="E8" s="37">
        <f>'Charges et FCF'!F8/'Charges et FCF'!F6</f>
        <v>0.61</v>
      </c>
      <c r="F8" s="37">
        <f>'Charges et FCF'!G8/'Charges et FCF'!G6</f>
        <v>0.61</v>
      </c>
      <c r="G8" s="37">
        <f>'Charges et FCF'!H8/'Charges et FCF'!H6</f>
        <v>0.61</v>
      </c>
      <c r="H8" s="37">
        <f>'Charges et FCF'!I8/'Charges et FCF'!I6</f>
        <v>0.61</v>
      </c>
      <c r="I8" s="2"/>
      <c r="J8" s="18" t="s">
        <v>55</v>
      </c>
      <c r="K8" s="115">
        <f>'Charges et FCF'!I10</f>
        <v>464064.6818690924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2" x14ac:dyDescent="0.35">
      <c r="A9" s="2"/>
      <c r="B9" s="18" t="s">
        <v>49</v>
      </c>
      <c r="C9" s="37">
        <f>'Charges et FCF'!D10/'Charges et FCF'!D6</f>
        <v>0.39160919540229883</v>
      </c>
      <c r="D9" s="37">
        <f>'Charges et FCF'!E10/'Charges et FCF'!E6</f>
        <v>0.41875805229253504</v>
      </c>
      <c r="E9" s="37">
        <f>'Charges et FCF'!F10/'Charges et FCF'!F6</f>
        <v>0.44253194826441089</v>
      </c>
      <c r="F9" s="37">
        <f>'Charges et FCF'!G10/'Charges et FCF'!G6</f>
        <v>0.46335043546505761</v>
      </c>
      <c r="G9" s="37">
        <f>'Charges et FCF'!H10/'Charges et FCF'!H6</f>
        <v>0.48158091017716237</v>
      </c>
      <c r="H9" s="37">
        <f>'Charges et FCF'!I10/'Charges et FCF'!I6</f>
        <v>0.49754509648068823</v>
      </c>
      <c r="I9" s="2"/>
      <c r="J9" s="18" t="s">
        <v>56</v>
      </c>
      <c r="K9" s="116">
        <f>H9</f>
        <v>0.49754509648068823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x14ac:dyDescent="0.35">
      <c r="A10" s="2"/>
      <c r="B10" s="18" t="s">
        <v>50</v>
      </c>
      <c r="C10" s="37">
        <f>'Charges et FCF'!D12/'Charges et FCF'!D6</f>
        <v>0.38160919540229887</v>
      </c>
      <c r="D10" s="37">
        <f>'Charges et FCF'!E12/'Charges et FCF'!E6</f>
        <v>0.40875805229253503</v>
      </c>
      <c r="E10" s="37">
        <f>'Charges et FCF'!F12/'Charges et FCF'!F6</f>
        <v>0.43253194826441088</v>
      </c>
      <c r="F10" s="37">
        <f>'Charges et FCF'!G12/'Charges et FCF'!G6</f>
        <v>0.4533504354650576</v>
      </c>
      <c r="G10" s="37">
        <f>'Charges et FCF'!H12/'Charges et FCF'!H6</f>
        <v>0.47158091017716242</v>
      </c>
      <c r="H10" s="37">
        <f>'Charges et FCF'!I12/'Charges et FCF'!I6</f>
        <v>0.48754509648068828</v>
      </c>
      <c r="I10" s="2"/>
      <c r="J10" s="18" t="s">
        <v>57</v>
      </c>
      <c r="K10" s="115">
        <f>SUM('Charges et FCF'!D18:I18)</f>
        <v>1136349.1724761948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x14ac:dyDescent="0.35">
      <c r="A11" s="2"/>
      <c r="B11" s="18" t="s">
        <v>51</v>
      </c>
      <c r="C11" s="37">
        <f>'Charges et FCF'!D18/'Charges et FCF'!D10</f>
        <v>0.62870560610507775</v>
      </c>
      <c r="D11" s="37">
        <f>'Charges et FCF'!E18/'Charges et FCF'!E10</f>
        <v>0.61291882427195654</v>
      </c>
      <c r="E11" s="37">
        <f>'Charges et FCF'!F18/'Charges et FCF'!F10</f>
        <v>0.62028315948943069</v>
      </c>
      <c r="F11" s="37">
        <f>'Charges et FCF'!G18/'Charges et FCF'!G10</f>
        <v>0.62611137972443953</v>
      </c>
      <c r="G11" s="37">
        <f>'Charges et FCF'!H18/'Charges et FCF'!H10</f>
        <v>0.63080124244806834</v>
      </c>
      <c r="H11" s="37">
        <f>'Charges et FCF'!I18/'Charges et FCF'!I10</f>
        <v>0.63462584284342505</v>
      </c>
      <c r="I11" s="2"/>
      <c r="J11" s="18" t="s">
        <v>58</v>
      </c>
      <c r="K11" s="116">
        <f>('Charges et FCF'!I6/'Charges et FCF'!D6)^(1/5)-1</f>
        <v>0.16480000000000006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5">
      <c r="A12" s="2"/>
      <c r="B12" s="2"/>
      <c r="C12" s="2"/>
      <c r="D12" s="2"/>
      <c r="E12" s="2"/>
      <c r="F12" s="2"/>
      <c r="G12" s="2"/>
      <c r="H12" s="2"/>
      <c r="I12" s="2"/>
      <c r="J12" s="2" t="s">
        <v>75</v>
      </c>
      <c r="K12" s="116">
        <f>('Charges et FCF'!I10/'Charges et FCF'!D10)^(1/5)-1</f>
        <v>0.22193266849091686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 s="2"/>
      <c r="B13" s="2"/>
      <c r="C13" s="2"/>
      <c r="D13" s="2"/>
      <c r="E13" s="2"/>
      <c r="F13" s="2"/>
      <c r="G13" s="2"/>
      <c r="H13" s="2"/>
      <c r="I13" s="2"/>
      <c r="J13" s="2" t="s">
        <v>76</v>
      </c>
      <c r="K13" s="115">
        <f>AVERAGE('Charges et FCF'!E10:I10)</f>
        <v>328315.63713611476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5">
      <c r="A14" s="2"/>
      <c r="B14" s="2"/>
      <c r="C14" s="2"/>
      <c r="D14" s="2"/>
      <c r="E14" s="2"/>
      <c r="F14" s="2"/>
      <c r="G14" s="2"/>
      <c r="H14" s="2"/>
      <c r="I14" s="2"/>
      <c r="J14" s="18" t="s">
        <v>59</v>
      </c>
      <c r="K14" s="115">
        <f>'Charges et FCF'!I9/Analyse!H8</f>
        <v>171947.01033442622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5">
      <c r="A15" s="2"/>
      <c r="B15" s="3" t="s">
        <v>60</v>
      </c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35">
      <c r="A16" s="2"/>
      <c r="B16" s="39" t="s">
        <v>61</v>
      </c>
      <c r="C16" s="53" t="s">
        <v>54</v>
      </c>
      <c r="D16" s="53" t="s">
        <v>55</v>
      </c>
      <c r="E16" s="53" t="s">
        <v>62</v>
      </c>
      <c r="F16" s="40" t="s">
        <v>63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5">
      <c r="A17" s="2"/>
      <c r="B17" s="38" t="s">
        <v>2</v>
      </c>
      <c r="C17" s="54">
        <f>SUM(
Hypothèses!$C$18*(1+Hypothèses!C7)^5*Hypothèses!$D$18*(1+Hypothèses!C8)^5,
Hypothèses!$C$19*(1+Hypothèses!C7)^5*Hypothèses!$D$19*(1+Hypothèses!C8)^5,
Hypothèses!$C$20*(1+Hypothèses!C7)^5*Hypothèses!$D$20*(1+Hypothèses!C8)^5
)</f>
        <v>740958.96654276398</v>
      </c>
      <c r="D17" s="54">
        <v>324869</v>
      </c>
      <c r="E17" s="57">
        <v>0.43840000000000001</v>
      </c>
      <c r="F17" s="48" t="s">
        <v>70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2"/>
      <c r="B18" s="45" t="s">
        <v>3</v>
      </c>
      <c r="C18" s="55">
        <f>((Hypothèses!$C$18*(1+Hypothèses!D7)^5))*(Hypothèses!$D$18*(1+Hypothèses!D$8)^5)+((Hypothèses!$C$19*(1+Hypothèses!D7)^5))*(Hypothèses!$D$19*(1+Hypothèses!D$8)^5)+((Hypothèses!$C$20*(1+Hypothèses!D7)^5))*(Hypothèses!$D$20*(1+Hypothèses!$D$8)^5)</f>
        <v>932708.78389031533</v>
      </c>
      <c r="D18" s="55">
        <v>464064</v>
      </c>
      <c r="E18" s="58">
        <v>0.4975</v>
      </c>
      <c r="F18" s="46" t="s">
        <v>71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5">
      <c r="A19" s="2"/>
      <c r="B19" s="44" t="s">
        <v>4</v>
      </c>
      <c r="C19" s="56">
        <f>((Hypothèses!$C$18*(1+Hypothèses!E7)^5))*(Hypothèses!$D$18*(1+Hypothèses!E8)^5)+((Hypothèses!$C$19*(1+Hypothèses!E7)^5))*(Hypothèses!$D$19*(1+Hypothèses!E8)^5)+((Hypothèses!$C$20*(1+Hypothèses!E7)^5))*(Hypothèses!$D$20*(1+Hypothèses!E8)^5)</f>
        <v>556240.77613899461</v>
      </c>
      <c r="D19" s="56">
        <v>190238</v>
      </c>
      <c r="E19" s="59">
        <v>0.34200000000000003</v>
      </c>
      <c r="F19" s="47" t="s">
        <v>72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35"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35">
      <c r="O47" s="2"/>
      <c r="P47" s="2"/>
      <c r="Q47" s="2"/>
      <c r="R47" s="2"/>
      <c r="S47" s="2"/>
      <c r="T47" s="2"/>
    </row>
  </sheetData>
  <mergeCells count="2">
    <mergeCell ref="F2:L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F359-72CE-44BD-A637-46DAECB07845}">
  <dimension ref="A1:AH109"/>
  <sheetViews>
    <sheetView tabSelected="1" zoomScale="72" zoomScaleNormal="29" workbookViewId="0">
      <selection activeCell="I10" sqref="I10"/>
    </sheetView>
  </sheetViews>
  <sheetFormatPr baseColWidth="10" defaultRowHeight="14.5" x14ac:dyDescent="0.35"/>
  <cols>
    <col min="1" max="1" width="3.7265625" style="2" customWidth="1"/>
    <col min="2" max="2" width="11.36328125" bestFit="1" customWidth="1"/>
    <col min="3" max="3" width="18.81640625" customWidth="1"/>
    <col min="4" max="4" width="9.6328125" customWidth="1"/>
    <col min="6" max="6" width="16.453125" customWidth="1"/>
    <col min="8" max="8" width="20" bestFit="1" customWidth="1"/>
    <col min="9" max="9" width="10.453125" customWidth="1"/>
    <col min="10" max="10" width="18.6328125" customWidth="1"/>
    <col min="11" max="11" width="11.1796875" bestFit="1" customWidth="1"/>
    <col min="12" max="12" width="15.54296875" bestFit="1" customWidth="1"/>
    <col min="13" max="13" width="16.36328125" bestFit="1" customWidth="1"/>
    <col min="14" max="14" width="26.90625" customWidth="1"/>
  </cols>
  <sheetData>
    <row r="1" spans="2:34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2:34" ht="18.5" x14ac:dyDescent="0.45">
      <c r="B2" s="84" t="s">
        <v>73</v>
      </c>
      <c r="C2" s="84"/>
      <c r="D2" s="49"/>
      <c r="E2" s="49"/>
      <c r="F2" s="49" t="s">
        <v>64</v>
      </c>
      <c r="G2" s="49"/>
      <c r="H2" s="49"/>
      <c r="I2" s="49"/>
      <c r="J2" s="49"/>
      <c r="K2" s="94"/>
      <c r="L2" s="94"/>
      <c r="M2" s="94"/>
      <c r="N2" s="9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2:34" x14ac:dyDescent="0.35">
      <c r="B3" s="2"/>
      <c r="C3" s="2"/>
      <c r="D3" s="2"/>
      <c r="E3" s="2"/>
      <c r="F3" s="2"/>
      <c r="G3" s="2"/>
      <c r="H3" s="2"/>
      <c r="I3" s="2"/>
      <c r="J3" s="100" t="s">
        <v>77</v>
      </c>
      <c r="K3" s="95"/>
      <c r="L3" s="95"/>
      <c r="M3" s="95"/>
      <c r="N3" s="107"/>
      <c r="O3" s="2"/>
      <c r="P3" s="2"/>
      <c r="Q3" s="2"/>
      <c r="R3" s="2"/>
      <c r="S3" s="2"/>
      <c r="T3" s="2"/>
      <c r="U3" s="2"/>
      <c r="V3" s="2"/>
      <c r="W3" s="19" t="s">
        <v>54</v>
      </c>
      <c r="X3" s="36"/>
      <c r="Y3" s="19" t="s">
        <v>55</v>
      </c>
      <c r="Z3" s="36"/>
      <c r="AA3" s="19" t="s">
        <v>56</v>
      </c>
      <c r="AB3" s="36"/>
      <c r="AC3" s="19" t="s">
        <v>65</v>
      </c>
      <c r="AD3" s="2"/>
      <c r="AE3" s="2"/>
      <c r="AF3" s="2"/>
      <c r="AG3" s="2"/>
      <c r="AH3" s="2"/>
    </row>
    <row r="4" spans="2:34" ht="17" customHeight="1" x14ac:dyDescent="0.35">
      <c r="B4" s="2"/>
      <c r="C4" s="2"/>
      <c r="D4" s="2"/>
      <c r="E4" s="2"/>
      <c r="F4" s="2"/>
      <c r="G4" s="2"/>
      <c r="H4" s="2"/>
      <c r="I4" s="2"/>
      <c r="J4" s="101" t="str">
        <f>Hypothèses!C4</f>
        <v>Optimiste</v>
      </c>
      <c r="K4" s="96"/>
      <c r="L4" s="96"/>
      <c r="M4" s="96"/>
      <c r="N4" s="108"/>
      <c r="O4" s="2"/>
      <c r="P4" s="2"/>
      <c r="Q4" s="2"/>
      <c r="R4" s="2"/>
      <c r="S4" s="2"/>
      <c r="T4" s="2"/>
      <c r="U4" s="2"/>
      <c r="V4" s="2"/>
      <c r="W4" s="65">
        <f>Ventes!H20</f>
        <v>932708.78389031545</v>
      </c>
      <c r="X4" s="36"/>
      <c r="Y4" s="64">
        <f>'Charges et FCF'!I10</f>
        <v>464064.6818690924</v>
      </c>
      <c r="Z4" s="36"/>
      <c r="AA4" s="63">
        <f>Analyse!H9</f>
        <v>0.49754509648068823</v>
      </c>
      <c r="AB4" s="36"/>
      <c r="AC4" s="62">
        <f>SUM(SUM('Charges et FCF'!D18:I18))</f>
        <v>1136349.1724761948</v>
      </c>
      <c r="AD4" s="2"/>
      <c r="AE4" s="2"/>
      <c r="AF4" s="2"/>
      <c r="AG4" s="2"/>
      <c r="AH4" s="2"/>
    </row>
    <row r="5" spans="2:34" ht="14.5" customHeight="1" x14ac:dyDescent="0.35">
      <c r="C5" s="2"/>
      <c r="D5" s="2"/>
      <c r="E5" s="2"/>
      <c r="F5" s="2"/>
      <c r="G5" s="2"/>
      <c r="H5" s="2"/>
      <c r="I5" s="2"/>
      <c r="J5" s="101"/>
      <c r="K5" s="96"/>
      <c r="L5" s="96"/>
      <c r="M5" s="96"/>
      <c r="N5" s="10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2:34" ht="14.5" customHeight="1" x14ac:dyDescent="0.35">
      <c r="B6" s="74" t="s">
        <v>54</v>
      </c>
      <c r="C6" s="75"/>
      <c r="D6" s="76"/>
      <c r="E6" s="66"/>
      <c r="F6" s="74" t="s">
        <v>55</v>
      </c>
      <c r="G6" s="75"/>
      <c r="H6" s="75"/>
      <c r="I6" s="2"/>
      <c r="J6" s="102" t="str">
        <f>IF(Hypothèses!C4="Optimiste","Le scénario optimiste combine volume et prix plus dynamiques, ce qui tire fortement le CA et l'EBITDA.","Le scénario actif influence directement la trajectoire de CA, de marge et de cash-flow.")</f>
        <v>Le scénario optimiste combine volume et prix plus dynamiques, ce qui tire fortement le CA et l'EBITDA.</v>
      </c>
      <c r="K6" s="97"/>
      <c r="L6" s="97"/>
      <c r="M6" s="97"/>
      <c r="N6" s="109"/>
      <c r="O6" s="9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2:34" x14ac:dyDescent="0.35">
      <c r="B7" s="83">
        <f>'Charges et FCF'!I6</f>
        <v>932708.78389031545</v>
      </c>
      <c r="C7" s="78"/>
      <c r="D7" s="79"/>
      <c r="E7" s="66"/>
      <c r="F7" s="83">
        <f>Analyse!K8</f>
        <v>464064.6818690924</v>
      </c>
      <c r="G7" s="78"/>
      <c r="H7" s="78"/>
      <c r="I7" s="2"/>
      <c r="J7" s="102"/>
      <c r="K7" s="97"/>
      <c r="L7" s="97"/>
      <c r="M7" s="97"/>
      <c r="N7" s="109"/>
      <c r="O7" s="98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2:34" x14ac:dyDescent="0.35">
      <c r="B8" s="80"/>
      <c r="C8" s="81"/>
      <c r="D8" s="82"/>
      <c r="E8" s="66"/>
      <c r="F8" s="80"/>
      <c r="G8" s="81"/>
      <c r="H8" s="81"/>
      <c r="I8" s="2"/>
      <c r="J8" s="102"/>
      <c r="K8" s="97"/>
      <c r="L8" s="97"/>
      <c r="M8" s="97"/>
      <c r="N8" s="109"/>
      <c r="O8" s="98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4" x14ac:dyDescent="0.35">
      <c r="B9" s="66"/>
      <c r="C9" s="66"/>
      <c r="D9" s="66"/>
      <c r="E9" s="66"/>
      <c r="F9" s="66"/>
      <c r="G9" s="66"/>
      <c r="H9" s="2"/>
      <c r="I9" s="2"/>
      <c r="J9" s="103"/>
      <c r="K9" s="89"/>
      <c r="L9" s="89"/>
      <c r="M9" s="89"/>
      <c r="N9" s="11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2:34" ht="16.5" customHeight="1" x14ac:dyDescent="0.35">
      <c r="B10" s="74" t="s">
        <v>74</v>
      </c>
      <c r="C10" s="75"/>
      <c r="D10" s="76"/>
      <c r="E10" s="66"/>
      <c r="F10" s="74" t="s">
        <v>59</v>
      </c>
      <c r="G10" s="75"/>
      <c r="H10" s="75"/>
      <c r="I10" s="2"/>
      <c r="J10" s="104" t="str">
        <f>_xlfn.CONCAT("Volumes : ",TEXT(Hypothèses!I7,"0,0%"),"  |  Prix : ",TEXT(Hypothèses!I8,"0,0%"),"  |  Coût variable : ",TEXT(Hypothèses!I9,"0,0%"),"  |  CAPEX : ",TEXT(Hypothèses!I11,"0,0%"),"  |  BFR : ",TEXT(Hypothèses!I12,"0,0%"))</f>
        <v>Volumes : 12,0%  |  Prix : 4,0%  |  Coût variable : 39,0%  |  CAPEX : 5,0%  |  BFR : 7,0%</v>
      </c>
      <c r="K10" s="99"/>
      <c r="L10" s="99"/>
      <c r="M10" s="99"/>
      <c r="N10" s="11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2:34" x14ac:dyDescent="0.35">
      <c r="B11" s="77">
        <f>Analyse!K11</f>
        <v>0.16480000000000006</v>
      </c>
      <c r="C11" s="78"/>
      <c r="D11" s="79"/>
      <c r="E11" s="66"/>
      <c r="F11" s="83">
        <f>Analyse!K14</f>
        <v>171947.01033442622</v>
      </c>
      <c r="G11" s="78"/>
      <c r="H11" s="78"/>
      <c r="I11" s="2"/>
      <c r="J11" s="104"/>
      <c r="K11" s="99"/>
      <c r="L11" s="99"/>
      <c r="M11" s="99"/>
      <c r="N11" s="11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2:34" x14ac:dyDescent="0.35">
      <c r="B12" s="80"/>
      <c r="C12" s="81"/>
      <c r="D12" s="82"/>
      <c r="E12" s="66"/>
      <c r="F12" s="80"/>
      <c r="G12" s="81"/>
      <c r="H12" s="81"/>
      <c r="I12" s="2"/>
      <c r="J12" s="105"/>
      <c r="K12" s="106"/>
      <c r="L12" s="106"/>
      <c r="M12" s="106"/>
      <c r="N12" s="1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2:34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2:34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2:34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2:34" x14ac:dyDescent="0.35">
      <c r="B16" s="73" t="s">
        <v>78</v>
      </c>
      <c r="C16" s="73"/>
      <c r="D16" s="73"/>
      <c r="E16" s="73"/>
      <c r="F16" s="73"/>
      <c r="G16" s="2"/>
      <c r="H16" s="73" t="s">
        <v>79</v>
      </c>
      <c r="I16" s="73"/>
      <c r="J16" s="73"/>
      <c r="K16" s="73"/>
      <c r="L16" s="7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2:32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:32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2:32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2:32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2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2:32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2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2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2:32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2:32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2:32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2:32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2:32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2:32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2:32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2:32" x14ac:dyDescent="0.35">
      <c r="B33" s="73" t="s">
        <v>80</v>
      </c>
      <c r="C33" s="73"/>
      <c r="D33" s="73"/>
      <c r="E33" s="73"/>
      <c r="F33" s="73"/>
      <c r="G33" s="2"/>
      <c r="H33" s="73" t="s">
        <v>81</v>
      </c>
      <c r="I33" s="73"/>
      <c r="J33" s="73"/>
      <c r="K33" s="73"/>
      <c r="L33" s="7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2:32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2:32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2:32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2:32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2:32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2:32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2:32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2:32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2:32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2:32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2:32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2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2:32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2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2:32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2" x14ac:dyDescent="0.35">
      <c r="B49" s="73" t="s">
        <v>82</v>
      </c>
      <c r="C49" s="73"/>
      <c r="D49" s="73"/>
      <c r="E49" s="73"/>
      <c r="F49" s="73"/>
      <c r="G49" s="2"/>
      <c r="H49" s="2"/>
      <c r="I49" s="2"/>
      <c r="J49" s="2"/>
      <c r="K49" s="2"/>
      <c r="L49" s="2"/>
      <c r="M49" s="2"/>
      <c r="N49" s="2"/>
      <c r="O49" s="4"/>
      <c r="P49" s="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2:32" x14ac:dyDescent="0.35">
      <c r="B50" s="2"/>
      <c r="C50" s="2"/>
      <c r="D50" s="2"/>
      <c r="E50" s="2"/>
      <c r="F50" s="2"/>
      <c r="G50" s="2"/>
      <c r="H50" s="2"/>
      <c r="I50" s="4"/>
      <c r="J50" s="2"/>
      <c r="K50" s="2"/>
      <c r="L50" s="2"/>
      <c r="M50" s="2"/>
      <c r="N50" s="2"/>
      <c r="O50" s="4"/>
      <c r="P50" s="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2:32" x14ac:dyDescent="0.35">
      <c r="B51" s="2"/>
      <c r="C51" s="2"/>
      <c r="D51" s="2"/>
      <c r="E51" s="2"/>
      <c r="F51" s="2"/>
      <c r="G51" s="2"/>
      <c r="H51" s="2"/>
      <c r="I51" s="4"/>
      <c r="J51" s="2"/>
      <c r="K51" s="2"/>
      <c r="L51" s="2"/>
      <c r="M51" s="2"/>
      <c r="N51" s="2"/>
      <c r="O51" s="4"/>
      <c r="P51" s="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2:32" x14ac:dyDescent="0.35">
      <c r="B52" s="2"/>
      <c r="C52" s="2"/>
      <c r="D52" s="2"/>
      <c r="E52" s="2"/>
      <c r="F52" s="2"/>
      <c r="G52" s="2"/>
      <c r="H52" s="70" t="s">
        <v>83</v>
      </c>
      <c r="I52" s="4"/>
      <c r="J52" s="4"/>
      <c r="K52" s="4"/>
      <c r="L52" s="4"/>
      <c r="M52" s="2"/>
      <c r="N52" s="2"/>
      <c r="O52" s="4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2" x14ac:dyDescent="0.35">
      <c r="B53" s="2"/>
      <c r="C53" s="2"/>
      <c r="D53" s="2"/>
      <c r="E53" s="2"/>
      <c r="F53" s="2"/>
      <c r="G53" s="2"/>
      <c r="H53" s="67" t="s">
        <v>84</v>
      </c>
      <c r="I53" s="71" t="s">
        <v>54</v>
      </c>
      <c r="J53" s="71" t="s">
        <v>55</v>
      </c>
      <c r="K53" s="71" t="s">
        <v>85</v>
      </c>
      <c r="L53" s="71" t="s">
        <v>86</v>
      </c>
      <c r="M53" s="2"/>
      <c r="N53" s="2"/>
      <c r="O53" s="4"/>
      <c r="P53" s="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2:32" x14ac:dyDescent="0.35">
      <c r="B54" s="2"/>
      <c r="C54" s="2"/>
      <c r="D54" s="2"/>
      <c r="E54" s="2"/>
      <c r="F54" s="2"/>
      <c r="G54" s="2"/>
      <c r="H54" s="68" t="str">
        <f>Hypothèses!C6</f>
        <v>Base</v>
      </c>
      <c r="I54" s="69">
        <f>Analyse!C17</f>
        <v>740958.96654276398</v>
      </c>
      <c r="J54" s="69">
        <f>Analyse!D17</f>
        <v>324869</v>
      </c>
      <c r="K54" s="72">
        <f>Analyse!E17</f>
        <v>0.43840000000000001</v>
      </c>
      <c r="L54" s="68" t="str">
        <f>Analyse!F17</f>
        <v>Croissance stable</v>
      </c>
      <c r="M54" s="4"/>
      <c r="N54" s="4"/>
      <c r="O54" s="4"/>
      <c r="P54" s="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2:32" x14ac:dyDescent="0.35">
      <c r="B55" s="2"/>
      <c r="C55" s="2"/>
      <c r="D55" s="2"/>
      <c r="E55" s="2"/>
      <c r="F55" s="2"/>
      <c r="G55" s="2"/>
      <c r="H55" s="68" t="str">
        <f>Hypothèses!D6</f>
        <v>Optimiste</v>
      </c>
      <c r="I55" s="69">
        <f>Analyse!C18</f>
        <v>932708.78389031533</v>
      </c>
      <c r="J55" s="69">
        <f>Analyse!D18</f>
        <v>464064</v>
      </c>
      <c r="K55" s="72">
        <f>Analyse!E18</f>
        <v>0.4975</v>
      </c>
      <c r="L55" s="68" t="str">
        <f>Analyse!F18</f>
        <v>Forte croissance</v>
      </c>
      <c r="M55" s="4"/>
      <c r="N55" s="4"/>
      <c r="O55" s="4"/>
      <c r="P55" s="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2:32" x14ac:dyDescent="0.35">
      <c r="B56" s="2"/>
      <c r="C56" s="2"/>
      <c r="D56" s="2"/>
      <c r="E56" s="2"/>
      <c r="F56" s="2"/>
      <c r="G56" s="2"/>
      <c r="H56" s="68" t="str">
        <f>Hypothèses!E6</f>
        <v>Pessimiste</v>
      </c>
      <c r="I56" s="69">
        <f>Analyse!C19</f>
        <v>556240.77613899461</v>
      </c>
      <c r="J56" s="69">
        <f>Analyse!D19</f>
        <v>190238</v>
      </c>
      <c r="K56" s="72">
        <f>Analyse!E19</f>
        <v>0.34200000000000003</v>
      </c>
      <c r="L56" s="68" t="str">
        <f>Analyse!F19</f>
        <v>Pression sur marges</v>
      </c>
      <c r="M56" s="88"/>
      <c r="N56" s="88"/>
      <c r="O56" s="88"/>
      <c r="P56" s="88"/>
      <c r="Q56" s="89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2:32" x14ac:dyDescent="0.35">
      <c r="B57" s="2"/>
      <c r="C57" s="2"/>
      <c r="D57" s="2"/>
      <c r="E57" s="2"/>
      <c r="F57" s="2"/>
      <c r="G57" s="2"/>
      <c r="H57" s="2"/>
      <c r="I57" s="88"/>
      <c r="J57" s="93"/>
      <c r="K57" s="88"/>
      <c r="L57" s="88"/>
      <c r="M57" s="88"/>
      <c r="N57" s="88"/>
      <c r="O57" s="88"/>
      <c r="P57" s="88"/>
      <c r="Q57" s="89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2:32" ht="14.5" customHeight="1" x14ac:dyDescent="0.35">
      <c r="B58" s="2"/>
      <c r="C58" s="2"/>
      <c r="D58" s="2"/>
      <c r="E58" s="2"/>
      <c r="F58" s="2"/>
      <c r="G58" s="2"/>
      <c r="H58" s="2"/>
      <c r="I58" s="88"/>
      <c r="J58" s="90"/>
      <c r="K58" s="90"/>
      <c r="L58" s="90"/>
      <c r="M58" s="91"/>
      <c r="N58" s="90"/>
      <c r="O58" s="90"/>
      <c r="P58" s="90"/>
      <c r="Q58" s="89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2:32" x14ac:dyDescent="0.35">
      <c r="B59" s="2"/>
      <c r="C59" s="2"/>
      <c r="D59" s="2"/>
      <c r="E59" s="2"/>
      <c r="F59" s="2"/>
      <c r="G59" s="2"/>
      <c r="H59" s="2"/>
      <c r="I59" s="88"/>
      <c r="J59" s="90"/>
      <c r="K59" s="90"/>
      <c r="L59" s="90"/>
      <c r="M59" s="91"/>
      <c r="N59" s="90"/>
      <c r="O59" s="90"/>
      <c r="P59" s="90"/>
      <c r="Q59" s="89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2:32" ht="14.5" customHeight="1" x14ac:dyDescent="0.35">
      <c r="B60" s="2"/>
      <c r="C60" s="2"/>
      <c r="D60" s="2"/>
      <c r="E60" s="2"/>
      <c r="F60" s="2"/>
      <c r="G60" s="2"/>
      <c r="H60" s="2"/>
      <c r="I60" s="88"/>
      <c r="J60" s="92"/>
      <c r="K60" s="92"/>
      <c r="L60" s="92"/>
      <c r="M60" s="91"/>
      <c r="N60" s="92"/>
      <c r="O60" s="92"/>
      <c r="P60" s="92"/>
      <c r="Q60" s="89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2:32" x14ac:dyDescent="0.35">
      <c r="B61" s="2"/>
      <c r="C61" s="2"/>
      <c r="D61" s="2"/>
      <c r="E61" s="2"/>
      <c r="F61" s="2"/>
      <c r="G61" s="2"/>
      <c r="H61" s="2"/>
      <c r="I61" s="88"/>
      <c r="J61" s="92"/>
      <c r="K61" s="92"/>
      <c r="L61" s="92"/>
      <c r="M61" s="91"/>
      <c r="N61" s="92"/>
      <c r="O61" s="92"/>
      <c r="P61" s="92"/>
      <c r="Q61" s="8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2:32" x14ac:dyDescent="0.35">
      <c r="B62" s="2"/>
      <c r="C62" s="2"/>
      <c r="D62" s="2"/>
      <c r="E62" s="2"/>
      <c r="F62" s="2"/>
      <c r="G62" s="2"/>
      <c r="H62" s="2"/>
      <c r="I62" s="88"/>
      <c r="J62" s="88"/>
      <c r="K62" s="88"/>
      <c r="L62" s="88"/>
      <c r="M62" s="88"/>
      <c r="N62" s="88"/>
      <c r="O62" s="88"/>
      <c r="P62" s="88"/>
      <c r="Q62" s="89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2:32" ht="14.5" customHeight="1" x14ac:dyDescent="0.35">
      <c r="B63" s="2"/>
      <c r="C63" s="2"/>
      <c r="D63" s="2"/>
      <c r="E63" s="2"/>
      <c r="F63" s="2"/>
      <c r="G63" s="2"/>
      <c r="H63" s="2"/>
      <c r="I63" s="88"/>
      <c r="J63" s="90"/>
      <c r="K63" s="90"/>
      <c r="L63" s="90"/>
      <c r="M63" s="91"/>
      <c r="N63" s="90"/>
      <c r="O63" s="90"/>
      <c r="P63" s="90"/>
      <c r="Q63" s="89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2:32" x14ac:dyDescent="0.35">
      <c r="B64" s="2"/>
      <c r="C64" s="2"/>
      <c r="D64" s="2"/>
      <c r="E64" s="2"/>
      <c r="F64" s="2"/>
      <c r="G64" s="2"/>
      <c r="H64" s="2"/>
      <c r="I64" s="88"/>
      <c r="J64" s="90"/>
      <c r="K64" s="90"/>
      <c r="L64" s="90"/>
      <c r="M64" s="91"/>
      <c r="N64" s="90"/>
      <c r="O64" s="90"/>
      <c r="P64" s="90"/>
      <c r="Q64" s="89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2" ht="14.5" customHeight="1" x14ac:dyDescent="0.35">
      <c r="B65" s="2"/>
      <c r="C65" s="2"/>
      <c r="D65" s="2"/>
      <c r="E65" s="2"/>
      <c r="F65" s="2"/>
      <c r="G65" s="2"/>
      <c r="H65" s="2"/>
      <c r="I65" s="88"/>
      <c r="J65" s="92"/>
      <c r="K65" s="92"/>
      <c r="L65" s="92"/>
      <c r="M65" s="91"/>
      <c r="N65" s="92"/>
      <c r="O65" s="92"/>
      <c r="P65" s="92"/>
      <c r="Q65" s="89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2:32" x14ac:dyDescent="0.35">
      <c r="B66" s="2"/>
      <c r="C66" s="2"/>
      <c r="D66" s="2"/>
      <c r="E66" s="2"/>
      <c r="F66" s="2"/>
      <c r="G66" s="2"/>
      <c r="H66" s="2"/>
      <c r="I66" s="88"/>
      <c r="J66" s="92"/>
      <c r="K66" s="92"/>
      <c r="L66" s="92"/>
      <c r="M66" s="91"/>
      <c r="N66" s="92"/>
      <c r="O66" s="92"/>
      <c r="P66" s="92"/>
      <c r="Q66" s="89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2" x14ac:dyDescent="0.35">
      <c r="B67" s="2"/>
      <c r="C67" s="2"/>
      <c r="D67" s="2"/>
      <c r="E67" s="2"/>
      <c r="F67" s="2"/>
      <c r="G67" s="2"/>
      <c r="H67" s="2"/>
      <c r="I67" s="88"/>
      <c r="J67" s="88"/>
      <c r="K67" s="88"/>
      <c r="L67" s="88"/>
      <c r="M67" s="88"/>
      <c r="N67" s="88"/>
      <c r="O67" s="88"/>
      <c r="P67" s="88"/>
      <c r="Q67" s="89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2:32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2:32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2:32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2:32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2:32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2:32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2:32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2:32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2:32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2:32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2:32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2:32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2:32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2:32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2:32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2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2:32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2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2:32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2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2:32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2:32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2:32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2:32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2:32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2:32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2:32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2:32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2:32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2:32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2:32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2:32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2:32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2:32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2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2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2:32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2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2:32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2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2:32" x14ac:dyDescent="0.35"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2:32" x14ac:dyDescent="0.35"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</sheetData>
  <mergeCells count="29">
    <mergeCell ref="H33:L33"/>
    <mergeCell ref="H16:L16"/>
    <mergeCell ref="B2:C2"/>
    <mergeCell ref="K2:N2"/>
    <mergeCell ref="J3:N3"/>
    <mergeCell ref="J4:N5"/>
    <mergeCell ref="J6:N8"/>
    <mergeCell ref="J58:L59"/>
    <mergeCell ref="M58:M61"/>
    <mergeCell ref="N58:P59"/>
    <mergeCell ref="J60:L61"/>
    <mergeCell ref="N60:P61"/>
    <mergeCell ref="J63:L64"/>
    <mergeCell ref="M63:M66"/>
    <mergeCell ref="N63:P64"/>
    <mergeCell ref="J65:L66"/>
    <mergeCell ref="N65:P66"/>
    <mergeCell ref="B49:F49"/>
    <mergeCell ref="B16:F16"/>
    <mergeCell ref="B33:F33"/>
    <mergeCell ref="B6:D6"/>
    <mergeCell ref="B11:D12"/>
    <mergeCell ref="B7:D8"/>
    <mergeCell ref="F6:H6"/>
    <mergeCell ref="F11:H12"/>
    <mergeCell ref="F7:H8"/>
    <mergeCell ref="B10:D10"/>
    <mergeCell ref="F10:H10"/>
    <mergeCell ref="J10:N12"/>
  </mergeCells>
  <conditionalFormatting sqref="I54:K56">
    <cfRule type="dataBar" priority="2">
      <dataBar>
        <cfvo type="min"/>
        <cfvo type="max"/>
        <color rgb="FF5B9BD5"/>
      </dataBar>
    </cfRule>
  </conditionalFormatting>
  <conditionalFormatting sqref="K54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1381272FD444C83DA49A47B6AAC14" ma:contentTypeVersion="5" ma:contentTypeDescription="Crée un document." ma:contentTypeScope="" ma:versionID="c79156d261659d8ba95ff1102fed0f27">
  <xsd:schema xmlns:xsd="http://www.w3.org/2001/XMLSchema" xmlns:xs="http://www.w3.org/2001/XMLSchema" xmlns:p="http://schemas.microsoft.com/office/2006/metadata/properties" xmlns:ns3="26a023eb-8d7d-4af8-993b-9cc0688d2b67" targetNamespace="http://schemas.microsoft.com/office/2006/metadata/properties" ma:root="true" ma:fieldsID="0d62c182dbd3481def423cf5b7fcee7f" ns3:_="">
    <xsd:import namespace="26a023eb-8d7d-4af8-993b-9cc0688d2b6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023eb-8d7d-4af8-993b-9cc0688d2b6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a023eb-8d7d-4af8-993b-9cc0688d2b67" xsi:nil="true"/>
  </documentManagement>
</p:properties>
</file>

<file path=customXml/itemProps1.xml><?xml version="1.0" encoding="utf-8"?>
<ds:datastoreItem xmlns:ds="http://schemas.openxmlformats.org/officeDocument/2006/customXml" ds:itemID="{5C8CC4F2-21A2-4203-BEC0-1F93A77F8F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a023eb-8d7d-4af8-993b-9cc0688d2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B03C7-1076-42EE-8F35-A09831F472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4986D9-2276-4F56-AD98-23B28A879BEE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26a023eb-8d7d-4af8-993b-9cc0688d2b67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Hypothèses</vt:lpstr>
      <vt:lpstr>Ventes</vt:lpstr>
      <vt:lpstr>Charges et FCF</vt:lpstr>
      <vt:lpstr>Analyse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CHANARD Marcel</dc:creator>
  <cp:lastModifiedBy>CHANARD Marcel</cp:lastModifiedBy>
  <dcterms:created xsi:type="dcterms:W3CDTF">2026-03-07T20:24:23Z</dcterms:created>
  <dcterms:modified xsi:type="dcterms:W3CDTF">2026-03-11T20:29:50Z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0x010100DB01381272FD444C83DA49A47B6AAC14</vt:lpwstr>
  </property>
</Properties>
</file>
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Portfolio+CV\"/>
    </mc:Choice>
  </mc:AlternateContent>
  <xr:revisionPtr revIDLastSave="0" documentId="8_{4EB0C5B6-579C-4304-B0AB-55A41EC286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F" sheetId="2" r:id="rId1"/>
    <sheet name="Financial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D30" i="2"/>
  <c r="D29" i="2"/>
  <c r="D14" i="2"/>
  <c r="C46" i="1"/>
  <c r="C44" i="1"/>
  <c r="C48" i="1"/>
  <c r="D12" i="2" s="1"/>
  <c r="G44" i="1"/>
  <c r="G42" i="1"/>
  <c r="C30" i="1"/>
  <c r="C31" i="1"/>
  <c r="E22" i="2"/>
  <c r="G32" i="1"/>
  <c r="G31" i="1"/>
  <c r="G33" i="1" s="1"/>
  <c r="G28" i="1"/>
  <c r="G29" i="1" s="1"/>
  <c r="G26" i="1"/>
  <c r="D25" i="2"/>
  <c r="D27" i="2" s="1"/>
  <c r="D21" i="2"/>
  <c r="I22" i="2"/>
  <c r="H22" i="2"/>
  <c r="G22" i="2"/>
  <c r="F22" i="2"/>
  <c r="C32" i="1" l="1"/>
  <c r="E21" i="2"/>
  <c r="F21" i="2" s="1"/>
  <c r="G21" i="2" s="1"/>
  <c r="H21" i="2" s="1"/>
  <c r="I21" i="2" s="1"/>
  <c r="G34" i="1"/>
  <c r="G35" i="1" s="1"/>
  <c r="D13" i="2" s="1"/>
  <c r="C67" i="2"/>
  <c r="C54" i="2"/>
  <c r="C64" i="2" s="1"/>
  <c r="B68" i="2"/>
  <c r="B63" i="2"/>
  <c r="B64" i="2"/>
  <c r="B55" i="2"/>
  <c r="B65" i="2" s="1"/>
  <c r="C37" i="1"/>
  <c r="D24" i="2" s="1"/>
  <c r="D22" i="2"/>
  <c r="D11" i="2"/>
  <c r="D10" i="2"/>
  <c r="C41" i="1"/>
  <c r="D9" i="2" s="1"/>
  <c r="C36" i="1"/>
  <c r="C35" i="1"/>
  <c r="I46" i="2" l="1"/>
  <c r="C38" i="1"/>
  <c r="D8" i="2" s="1"/>
  <c r="D28" i="2"/>
  <c r="G46" i="2" l="1"/>
  <c r="E46" i="2"/>
  <c r="H46" i="2"/>
  <c r="F46" i="2"/>
  <c r="H24" i="2"/>
  <c r="E24" i="2"/>
  <c r="E25" i="2" s="1"/>
  <c r="G24" i="2"/>
  <c r="F24" i="2"/>
  <c r="I24" i="2"/>
  <c r="I25" i="2" s="1"/>
  <c r="D38" i="2"/>
  <c r="E31" i="2"/>
  <c r="E30" i="2"/>
  <c r="E29" i="2"/>
  <c r="E27" i="2" l="1"/>
  <c r="E28" i="2" s="1"/>
  <c r="E38" i="2" s="1"/>
  <c r="E47" i="2" s="1"/>
  <c r="F31" i="2"/>
  <c r="F30" i="2"/>
  <c r="F29" i="2"/>
  <c r="F25" i="2"/>
  <c r="F27" i="2" l="1"/>
  <c r="F28" i="2" s="1"/>
  <c r="F38" i="2" s="1"/>
  <c r="F47" i="2" s="1"/>
  <c r="G31" i="2"/>
  <c r="G30" i="2"/>
  <c r="G29" i="2"/>
  <c r="G25" i="2"/>
  <c r="G27" i="2" l="1"/>
  <c r="G28" i="2" s="1"/>
  <c r="G38" i="2" s="1"/>
  <c r="G47" i="2" s="1"/>
  <c r="H31" i="2"/>
  <c r="H30" i="2"/>
  <c r="H29" i="2"/>
  <c r="H25" i="2"/>
  <c r="H27" i="2" l="1"/>
  <c r="H28" i="2" s="1"/>
  <c r="H38" i="2" s="1"/>
  <c r="H47" i="2" s="1"/>
  <c r="I31" i="2"/>
  <c r="I30" i="2"/>
  <c r="I29" i="2"/>
  <c r="I27" i="2" l="1"/>
  <c r="I28" i="2" s="1"/>
  <c r="I38" i="2" s="1"/>
  <c r="C50" i="2" l="1"/>
  <c r="C51" i="2" s="1"/>
  <c r="I47" i="2"/>
  <c r="C53" i="2" l="1"/>
  <c r="C63" i="2" l="1"/>
  <c r="C57" i="2"/>
  <c r="C55" i="2"/>
  <c r="C65" i="2" s="1"/>
  <c r="C68" i="2" l="1"/>
  <c r="B7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69F13963-C60E-4824-AA64-174625FBB484}">
      <text>
        <r>
          <rPr>
            <b/>
            <sz val="9"/>
            <color indexed="81"/>
            <rFont val="Tahoma"/>
            <family val="2"/>
          </rPr>
          <t>Marcel:</t>
        </r>
        <r>
          <rPr>
            <sz val="9"/>
            <color indexed="81"/>
            <rFont val="Tahoma"/>
            <charset val="1"/>
          </rPr>
          <t xml:space="preserve">
Risk-free rate proxy: French 10Y OAT / TEC 10 reference.
https://www.aft.gouv.fr/en/tec-10-oat</t>
        </r>
      </text>
    </comment>
    <comment ref="G24" authorId="0" shapeId="0" xr:uid="{9CDC5F7F-C5D6-4086-A57D-DFE96BF23673}">
      <text>
        <r>
          <rPr>
            <b/>
            <sz val="9"/>
            <color indexed="81"/>
            <rFont val="Tahoma"/>
            <charset val="1"/>
          </rPr>
          <t>Marcel:</t>
        </r>
        <r>
          <rPr>
            <sz val="9"/>
            <color indexed="81"/>
            <rFont val="Tahoma"/>
            <charset val="1"/>
          </rPr>
          <t xml:space="preserve">
5Y monthly beta on Yahoo Finance is used as an external check; cell rounded to 0.90 for a normalized beta assumption.
https://finance.yahoo.com/quote/MC.PA/key-statistics/</t>
        </r>
      </text>
    </comment>
    <comment ref="G25" authorId="0" shapeId="0" xr:uid="{FA7A1480-E705-4346-9265-A01F25D0A864}">
      <text>
        <r>
          <rPr>
            <b/>
            <sz val="9"/>
            <color indexed="81"/>
            <rFont val="Tahoma"/>
            <charset val="1"/>
          </rPr>
          <t>Marcel:</t>
        </r>
        <r>
          <rPr>
            <sz val="9"/>
            <color indexed="81"/>
            <rFont val="Tahoma"/>
            <charset val="1"/>
          </rPr>
          <t xml:space="preserve">
Equity risk premium based on Damodaran implied ERP dataset.
https://pages.stern.nyu.edu/~adamodar/New_Home_Page/datafile/histimpl.html</t>
        </r>
      </text>
    </comment>
    <comment ref="G27" authorId="0" shapeId="0" xr:uid="{1D100324-FFF7-4C8B-8C48-7511E9CC7D51}">
      <text>
        <r>
          <rPr>
            <b/>
            <sz val="9"/>
            <color indexed="81"/>
            <rFont val="Tahoma"/>
            <charset val="1"/>
          </rPr>
          <t>Marcel:</t>
        </r>
        <r>
          <rPr>
            <sz val="9"/>
            <color indexed="81"/>
            <rFont val="Tahoma"/>
            <charset val="1"/>
          </rPr>
          <t xml:space="preserve">
Cost of debt proxy based on recent LVMH reported financing cost / debt profile.
https://lvmh-com.cdn.prismic.io/lvmh-com/aXjqHgIvOtkhB_8I_Financialdocuments-December31%2C2025.pdf</t>
        </r>
      </text>
    </comment>
    <comment ref="G30" authorId="0" shapeId="0" xr:uid="{A041EACF-C588-4F96-ACE1-2666A45FC677}">
      <text>
        <r>
          <rPr>
            <b/>
            <sz val="9"/>
            <color indexed="81"/>
            <rFont val="Tahoma"/>
            <charset val="1"/>
          </rPr>
          <t>Marcel:</t>
        </r>
        <r>
          <rPr>
            <sz val="9"/>
            <color indexed="81"/>
            <rFont val="Tahoma"/>
            <charset val="1"/>
          </rPr>
          <t xml:space="preserve">
LVMH MC.PA closing price used for market capitalization as of 27 Mar 2026.
https://finance.yahoo.com/quote/MC.PA/history/</t>
        </r>
      </text>
    </comment>
  </commentList>
</comments>
</file>

<file path=xl/sharedStrings.xml><?xml version="1.0" encoding="utf-8"?>
<sst xmlns="http://schemas.openxmlformats.org/spreadsheetml/2006/main" count="129" uniqueCount="103">
  <si>
    <t>Assumptions</t>
  </si>
  <si>
    <t>Revenue Growth</t>
  </si>
  <si>
    <t>EBIT Margin</t>
  </si>
  <si>
    <t>Tax Rate</t>
  </si>
  <si>
    <t>D&amp;A % of Revenue</t>
  </si>
  <si>
    <t>Capex % of Revenue</t>
  </si>
  <si>
    <t>NWC % of Revenue</t>
  </si>
  <si>
    <t>WACC</t>
  </si>
  <si>
    <t>Terminal Growth</t>
  </si>
  <si>
    <t>Operating Forecast</t>
  </si>
  <si>
    <t>2024A</t>
  </si>
  <si>
    <t>2026E</t>
  </si>
  <si>
    <t>2027E</t>
  </si>
  <si>
    <t>2028E</t>
  </si>
  <si>
    <t>2029E</t>
  </si>
  <si>
    <t>Revenue</t>
  </si>
  <si>
    <t>Revenue Growth %</t>
  </si>
  <si>
    <t>EBIT</t>
  </si>
  <si>
    <t>Taxes</t>
  </si>
  <si>
    <t>NOPAT</t>
  </si>
  <si>
    <t>D&amp;A</t>
  </si>
  <si>
    <t>Capex</t>
  </si>
  <si>
    <t>Change in NWC</t>
  </si>
  <si>
    <t>Free Cash Flow</t>
  </si>
  <si>
    <t>DCF Valuation</t>
  </si>
  <si>
    <t>Discount Factor</t>
  </si>
  <si>
    <t>PV of FCF</t>
  </si>
  <si>
    <t>Terminal Value</t>
  </si>
  <si>
    <t>PV Terminal Value</t>
  </si>
  <si>
    <t>Price per Share</t>
  </si>
  <si>
    <t>Bridge to Equity Value</t>
  </si>
  <si>
    <t>Shares Outstanding</t>
  </si>
  <si>
    <t>Sensitivity Analysis</t>
  </si>
  <si>
    <t>2023A</t>
  </si>
  <si>
    <t>Net Income</t>
  </si>
  <si>
    <t>Net Debt</t>
  </si>
  <si>
    <t>Effective Tax Rate</t>
  </si>
  <si>
    <t>Calculations &amp; Explanations</t>
  </si>
  <si>
    <t>Average growth:</t>
  </si>
  <si>
    <t>EBIT Historical Margin</t>
  </si>
  <si>
    <t>Average:</t>
  </si>
  <si>
    <t>Average tax rate:</t>
  </si>
  <si>
    <t>Rate</t>
  </si>
  <si>
    <t xml:space="preserve"> </t>
  </si>
  <si>
    <t>Less Net Debt</t>
  </si>
  <si>
    <t>Financials + Calculations</t>
  </si>
  <si>
    <t>All figures in €  millions unless stated otherwise</t>
  </si>
  <si>
    <t>Year-Specific Growth Rates (Tapered)</t>
  </si>
  <si>
    <t>2025A</t>
  </si>
  <si>
    <t>2030E</t>
  </si>
  <si>
    <t>Net Financial Debt</t>
  </si>
  <si>
    <t>EBIT (Recurring)</t>
  </si>
  <si>
    <t>WACC Calculation (March 2026)</t>
  </si>
  <si>
    <t>Component</t>
  </si>
  <si>
    <t>Value</t>
  </si>
  <si>
    <t>Source</t>
  </si>
  <si>
    <t>Cost of Equity</t>
  </si>
  <si>
    <t>Risk-Free Rate</t>
  </si>
  <si>
    <t>Beta</t>
  </si>
  <si>
    <t>Equity Risk Premium</t>
  </si>
  <si>
    <t>Cost of Debt</t>
  </si>
  <si>
    <t>After-tax Cost of Debt</t>
  </si>
  <si>
    <t>Tax rate</t>
  </si>
  <si>
    <t>E/V</t>
  </si>
  <si>
    <t>D/V</t>
  </si>
  <si>
    <t>Banque de France</t>
  </si>
  <si>
    <t>Damodaran, Jan 2025</t>
  </si>
  <si>
    <t>LVMH 2024 Annual Report</t>
  </si>
  <si>
    <t>Normalized</t>
  </si>
  <si>
    <t>Market Cap</t>
  </si>
  <si>
    <t>Share price</t>
  </si>
  <si>
    <t>% of Revenue</t>
  </si>
  <si>
    <t>2026E:</t>
  </si>
  <si>
    <t>2027E:</t>
  </si>
  <si>
    <t>2028E:</t>
  </si>
  <si>
    <t>2029E:</t>
  </si>
  <si>
    <t>2030E:</t>
  </si>
  <si>
    <t>Actual "Growth Rate"</t>
  </si>
  <si>
    <t>2024A:</t>
  </si>
  <si>
    <t>2023A:</t>
  </si>
  <si>
    <t>Europe Revenue Weight</t>
  </si>
  <si>
    <t>US Revenue Weight</t>
  </si>
  <si>
    <t>Asia Revenue Weight</t>
  </si>
  <si>
    <t>Other Revenue Weight</t>
  </si>
  <si>
    <t>Europe Long-run GDP</t>
  </si>
  <si>
    <t>US Long-run GDP</t>
  </si>
  <si>
    <t>Asia Long-run GDP</t>
  </si>
  <si>
    <t>Other Long-run GDP</t>
  </si>
  <si>
    <t>Implied Terminal Growth</t>
  </si>
  <si>
    <t>Normalized Terminal Growth</t>
  </si>
  <si>
    <t>Prepared by Marcel CHANARD</t>
  </si>
  <si>
    <t>Discounted Cash Flow (DCF) Valuation – LVMH</t>
  </si>
  <si>
    <t>Enterprise Value</t>
  </si>
  <si>
    <t>Bloomberg / Damodaran</t>
  </si>
  <si>
    <t>4,5% → 5,0% → 5,5% → 5,0% → 4,5%</t>
  </si>
  <si>
    <t>D&amp;A / Revenue (3Y avg.)</t>
  </si>
  <si>
    <t>Capex / Revenue (3Y avg.)</t>
  </si>
  <si>
    <t>Change in NWC / Revenue (3Y avg.)</t>
  </si>
  <si>
    <t>Terminal Growth Support (March 2026)</t>
  </si>
  <si>
    <t>Selected terminal growth</t>
  </si>
  <si>
    <t>(NOPAT + D&amp;A - CAPEX -  Change in NWC)</t>
  </si>
  <si>
    <t>Yahoo Finance, MC.PA close, March 27, 2016</t>
  </si>
  <si>
    <t>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</si>
</sst>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&quot;$&quot;#,##0.00"/>
    <numFmt numFmtId="165" formatCode="#,##0.00\ &quot;€&quot;"/>
    <numFmt numFmtId="166" formatCode="#,##0.00,&quot; bn €&quot;"/>
    <numFmt numFmtId="167" formatCode="#,##0.00,&quot; €bn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1"/>
      <name val="Aptos"/>
      <family val="2"/>
    </font>
    <font>
      <b/>
      <sz val="10"/>
      <color theme="0"/>
      <name val="Aptos"/>
      <family val="2"/>
    </font>
    <font>
      <b/>
      <sz val="14"/>
      <color theme="0"/>
      <name val="Aptos"/>
      <family val="2"/>
    </font>
    <font>
      <b/>
      <i/>
      <sz val="10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  <font>
      <sz val="11"/>
      <color theme="4"/>
      <name val="Aptos"/>
      <family val="2"/>
    </font>
    <font>
      <i/>
      <sz val="8"/>
      <color theme="1"/>
      <name val="Aptos"/>
      <family val="2"/>
    </font>
    <font>
      <sz val="11"/>
      <color rgb="FF0070C0"/>
      <name val="Aptos"/>
      <family val="2"/>
    </font>
    <font>
      <sz val="11"/>
      <color theme="9"/>
      <name val="Aptos"/>
      <family val="2"/>
    </font>
    <font>
      <b/>
      <sz val="11"/>
      <color theme="4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0" borderId="0" xfId="0" applyFont="1"/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14" fontId="7" fillId="7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/>
    <xf numFmtId="0" fontId="11" fillId="7" borderId="0" xfId="0" applyFont="1" applyFill="1"/>
    <xf numFmtId="0" fontId="10" fillId="7" borderId="0" xfId="0" applyFont="1" applyFill="1" applyAlignment="1">
      <alignment horizontal="right"/>
    </xf>
    <xf numFmtId="0" fontId="11" fillId="2" borderId="0" xfId="0" applyFont="1" applyFill="1" applyAlignment="1">
      <alignment horizontal="center"/>
    </xf>
    <xf numFmtId="0" fontId="11" fillId="2" borderId="0" xfId="0" applyFont="1" applyFill="1"/>
    <xf numFmtId="10" fontId="6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0" fontId="12" fillId="2" borderId="0" xfId="0" applyNumberFormat="1" applyFont="1" applyFill="1"/>
    <xf numFmtId="10" fontId="13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1" fillId="7" borderId="0" xfId="0" applyFont="1" applyFill="1" applyAlignment="1">
      <alignment horizontal="right" wrapText="1"/>
    </xf>
    <xf numFmtId="164" fontId="6" fillId="2" borderId="0" xfId="0" applyNumberFormat="1" applyFont="1" applyFill="1"/>
    <xf numFmtId="164" fontId="6" fillId="2" borderId="0" xfId="0" applyNumberFormat="1" applyFont="1" applyFill="1" applyAlignment="1">
      <alignment horizontal="left"/>
    </xf>
    <xf numFmtId="2" fontId="14" fillId="2" borderId="0" xfId="1" applyNumberFormat="1" applyFont="1" applyFill="1" applyAlignment="1">
      <alignment horizontal="right"/>
    </xf>
    <xf numFmtId="2" fontId="6" fillId="2" borderId="0" xfId="1" applyNumberFormat="1" applyFont="1" applyFill="1" applyAlignment="1">
      <alignment horizontal="right"/>
    </xf>
    <xf numFmtId="164" fontId="6" fillId="0" borderId="0" xfId="0" applyNumberFormat="1" applyFont="1"/>
    <xf numFmtId="3" fontId="14" fillId="5" borderId="0" xfId="0" applyNumberFormat="1" applyFont="1" applyFill="1" applyAlignment="1">
      <alignment horizontal="right"/>
    </xf>
    <xf numFmtId="10" fontId="14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44" fontId="6" fillId="2" borderId="0" xfId="1" applyFont="1" applyFill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5" fillId="2" borderId="0" xfId="0" applyFont="1" applyFill="1"/>
    <xf numFmtId="0" fontId="6" fillId="5" borderId="0" xfId="0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0" fontId="6" fillId="2" borderId="2" xfId="0" applyFont="1" applyFill="1" applyBorder="1"/>
    <xf numFmtId="164" fontId="6" fillId="2" borderId="2" xfId="0" applyNumberFormat="1" applyFont="1" applyFill="1" applyBorder="1" applyAlignment="1">
      <alignment horizontal="left"/>
    </xf>
    <xf numFmtId="2" fontId="6" fillId="2" borderId="0" xfId="0" applyNumberFormat="1" applyFont="1" applyFill="1"/>
    <xf numFmtId="165" fontId="6" fillId="2" borderId="0" xfId="0" applyNumberFormat="1" applyFont="1" applyFill="1"/>
    <xf numFmtId="165" fontId="6" fillId="0" borderId="0" xfId="0" applyNumberFormat="1" applyFont="1"/>
    <xf numFmtId="165" fontId="6" fillId="2" borderId="0" xfId="0" applyNumberFormat="1" applyFont="1" applyFill="1" applyAlignment="1">
      <alignment horizontal="left"/>
    </xf>
    <xf numFmtId="166" fontId="6" fillId="2" borderId="0" xfId="0" applyNumberFormat="1" applyFont="1" applyFill="1"/>
    <xf numFmtId="0" fontId="6" fillId="2" borderId="1" xfId="0" applyFont="1" applyFill="1" applyBorder="1"/>
    <xf numFmtId="2" fontId="14" fillId="2" borderId="2" xfId="1" applyNumberFormat="1" applyFont="1" applyFill="1" applyBorder="1" applyAlignment="1"/>
    <xf numFmtId="3" fontId="6" fillId="2" borderId="0" xfId="0" applyNumberFormat="1" applyFont="1" applyFill="1"/>
    <xf numFmtId="166" fontId="6" fillId="2" borderId="0" xfId="1" applyNumberFormat="1" applyFont="1" applyFill="1" applyAlignment="1"/>
    <xf numFmtId="44" fontId="6" fillId="2" borderId="0" xfId="1" applyFont="1" applyFill="1" applyAlignment="1"/>
    <xf numFmtId="0" fontId="11" fillId="4" borderId="0" xfId="0" applyFont="1" applyFill="1"/>
    <xf numFmtId="167" fontId="6" fillId="2" borderId="0" xfId="0" applyNumberFormat="1" applyFont="1" applyFill="1" applyAlignment="1">
      <alignment horizontal="right"/>
    </xf>
    <xf numFmtId="2" fontId="14" fillId="2" borderId="2" xfId="0" applyNumberFormat="1" applyFont="1" applyFill="1" applyBorder="1" applyAlignment="1">
      <alignment horizontal="right"/>
    </xf>
    <xf numFmtId="167" fontId="6" fillId="2" borderId="0" xfId="1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center"/>
    </xf>
    <xf numFmtId="44" fontId="6" fillId="0" borderId="0" xfId="0" applyNumberFormat="1" applyFont="1"/>
    <xf numFmtId="10" fontId="16" fillId="2" borderId="0" xfId="0" applyNumberFormat="1" applyFont="1" applyFill="1" applyAlignment="1">
      <alignment horizontal="right"/>
    </xf>
    <xf numFmtId="10" fontId="16" fillId="2" borderId="0" xfId="0" applyNumberFormat="1" applyFont="1" applyFill="1"/>
    <xf numFmtId="44" fontId="6" fillId="2" borderId="0" xfId="0" applyNumberFormat="1" applyFont="1" applyFill="1" applyAlignment="1">
      <alignment horizontal="right"/>
    </xf>
    <xf numFmtId="10" fontId="6" fillId="2" borderId="0" xfId="2" applyNumberFormat="1" applyFont="1" applyFill="1" applyAlignment="1"/>
    <xf numFmtId="44" fontId="6" fillId="2" borderId="0" xfId="0" applyNumberFormat="1" applyFont="1" applyFill="1"/>
    <xf numFmtId="44" fontId="6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4" borderId="0" xfId="0" applyFont="1" applyFill="1"/>
    <xf numFmtId="0" fontId="6" fillId="3" borderId="0" xfId="0" applyFont="1" applyFill="1"/>
    <xf numFmtId="0" fontId="8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3" fontId="14" fillId="2" borderId="0" xfId="0" applyNumberFormat="1" applyFont="1" applyFill="1"/>
    <xf numFmtId="0" fontId="14" fillId="2" borderId="0" xfId="0" applyFont="1" applyFill="1"/>
    <xf numFmtId="10" fontId="14" fillId="2" borderId="0" xfId="0" applyNumberFormat="1" applyFont="1" applyFill="1"/>
    <xf numFmtId="0" fontId="6" fillId="3" borderId="0" xfId="0" applyFont="1" applyFill="1" applyAlignment="1">
      <alignment horizontal="left"/>
    </xf>
    <xf numFmtId="0" fontId="6" fillId="8" borderId="0" xfId="0" applyFont="1" applyFill="1"/>
    <xf numFmtId="0" fontId="6" fillId="9" borderId="0" xfId="0" applyFont="1" applyFill="1"/>
    <xf numFmtId="0" fontId="11" fillId="7" borderId="0" xfId="0" applyFont="1" applyFill="1" applyAlignment="1">
      <alignment wrapText="1"/>
    </xf>
    <xf numFmtId="0" fontId="8" fillId="7" borderId="0" xfId="0" applyFont="1" applyFill="1" applyAlignment="1">
      <alignment horizontal="left" vertical="center" wrapText="1"/>
    </xf>
    <xf numFmtId="0" fontId="6" fillId="7" borderId="0" xfId="0" applyFont="1" applyFill="1"/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6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10" fontId="14" fillId="2" borderId="0" xfId="2" applyNumberFormat="1" applyFont="1" applyFill="1" applyAlignment="1">
      <alignment horizontal="left"/>
    </xf>
    <xf numFmtId="10" fontId="6" fillId="2" borderId="0" xfId="0" applyNumberFormat="1" applyFont="1" applyFill="1" applyAlignment="1">
      <alignment wrapText="1"/>
    </xf>
    <xf numFmtId="10" fontId="6" fillId="2" borderId="0" xfId="2" applyNumberFormat="1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10" fontId="17" fillId="2" borderId="0" xfId="2" applyNumberFormat="1" applyFont="1" applyFill="1" applyAlignment="1">
      <alignment horizontal="left"/>
    </xf>
    <xf numFmtId="0" fontId="13" fillId="8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/>
    </xf>
    <xf numFmtId="10" fontId="6" fillId="8" borderId="0" xfId="0" applyNumberFormat="1" applyFont="1" applyFill="1" applyAlignment="1">
      <alignment horizontal="left"/>
    </xf>
    <xf numFmtId="0" fontId="14" fillId="2" borderId="0" xfId="2" applyNumberFormat="1" applyFont="1" applyFill="1" applyAlignment="1">
      <alignment horizontal="left"/>
    </xf>
    <xf numFmtId="3" fontId="14" fillId="2" borderId="0" xfId="0" applyNumberFormat="1" applyFont="1" applyFill="1" applyAlignment="1">
      <alignment horizontal="left"/>
    </xf>
    <xf numFmtId="10" fontId="6" fillId="2" borderId="0" xfId="0" applyNumberFormat="1" applyFont="1" applyFill="1" applyAlignment="1">
      <alignment horizontal="left" wrapText="1"/>
    </xf>
    <xf numFmtId="0" fontId="6" fillId="2" borderId="2" xfId="0" applyFont="1" applyFill="1" applyBorder="1" applyAlignment="1">
      <alignment horizontal="left"/>
    </xf>
    <xf numFmtId="10" fontId="6" fillId="2" borderId="2" xfId="2" applyNumberFormat="1" applyFont="1" applyFill="1" applyBorder="1" applyAlignment="1">
      <alignment horizontal="left"/>
    </xf>
    <xf numFmtId="10" fontId="6" fillId="2" borderId="0" xfId="0" applyNumberFormat="1" applyFont="1" applyFill="1"/>
    <xf numFmtId="10" fontId="12" fillId="2" borderId="0" xfId="2" applyNumberFormat="1" applyFont="1" applyFill="1" applyAlignment="1">
      <alignment horizontal="left"/>
    </xf>
    <xf numFmtId="9" fontId="18" fillId="0" borderId="0" xfId="2" applyFont="1"/>
    <xf numFmtId="9" fontId="12" fillId="2" borderId="0" xfId="2" applyFont="1" applyFill="1"/>
    <xf numFmtId="10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10" fontId="14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center" vertical="top"/>
    </xf>
    <xf numFmtId="10" fontId="6" fillId="2" borderId="0" xfId="0" applyNumberFormat="1" applyFont="1" applyFill="1" applyAlignment="1">
      <alignment horizontal="left" vertical="top"/>
    </xf>
    <xf numFmtId="0" fontId="11" fillId="7" borderId="0" xfId="0" applyFont="1" applyFill="1" applyAlignment="1">
      <alignment horizontal="center"/>
    </xf>
    <xf numFmtId="10" fontId="6" fillId="2" borderId="0" xfId="0" applyNumberFormat="1" applyFont="1" applyFill="1" applyAlignment="1">
      <alignment vertical="top"/>
    </xf>
    <xf numFmtId="0" fontId="12" fillId="2" borderId="0" xfId="0" applyFont="1" applyFill="1"/>
    <xf numFmtId="10" fontId="12" fillId="2" borderId="0" xfId="0" applyNumberFormat="1" applyFont="1" applyFill="1" applyAlignment="1">
      <alignment horizontal="left"/>
    </xf>
    <xf numFmtId="10" fontId="1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 wrapText="1"/>
    </xf>
    <xf numFmtId="10" fontId="6" fillId="2" borderId="0" xfId="2" applyNumberFormat="1" applyFont="1" applyFill="1"/>
    <xf numFmtId="0" fontId="10" fillId="4" borderId="0" xfId="0" applyFont="1" applyFill="1" applyAlignment="1">
      <alignment horizontal="left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Medium9"/>
  <colors>
    <mruColors>
      <color rgb="FFEDEDED"/>
      <color rgb="FFF0F0F0"/>
      <color rgb="FFE0E0E0"/>
      <color rgb="FF153D64"/>
      <color rgb="FFF8F8F8"/>
      <color rgb="FFFC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695161</xdr:colOff>
      <xdr:row>76</xdr:row>
      <xdr:rowOff>93580</xdr:rowOff>
    </xdr:from>
    <xdr:to>
      <xdr:col>1</xdr:col>
      <xdr:colOff>909055</xdr:colOff>
      <xdr:row>80</xdr:row>
      <xdr:rowOff>86896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B530F62-6821-E41B-AA07-72095CDAB31A}"/>
            </a:ext>
          </a:extLst>
        </xdr:cNvPr>
        <xdr:cNvSpPr txBox="1"/>
      </xdr:nvSpPr>
      <xdr:spPr>
        <a:xfrm rot="16200000">
          <a:off x="731923" y="14207291"/>
          <a:ext cx="741948" cy="213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 b="1">
              <a:solidFill>
                <a:srgbClr val="0070C0"/>
              </a:solidFill>
              <a:latin typeface="Aptos Narrow" panose="020B0004020202020204" pitchFamily="34" charset="0"/>
            </a:rPr>
            <a:t>WACC</a:t>
          </a:r>
        </a:p>
      </xdr:txBody>
    </xdr:sp>
    <xdr:clientData/>
  </xdr:twoCellAnchor>
  <xdr:twoCellAnchor>
    <xdr:from>
      <xdr:col>4</xdr:col>
      <xdr:colOff>237292</xdr:colOff>
      <xdr:row>73</xdr:row>
      <xdr:rowOff>116975</xdr:rowOff>
    </xdr:from>
    <xdr:to>
      <xdr:col>5</xdr:col>
      <xdr:colOff>43450</xdr:colOff>
      <xdr:row>74</xdr:row>
      <xdr:rowOff>143711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6B92267-AEC3-4E03-AA68-6F8FFD2A6B14}"/>
            </a:ext>
          </a:extLst>
        </xdr:cNvPr>
        <xdr:cNvSpPr txBox="1"/>
      </xdr:nvSpPr>
      <xdr:spPr>
        <a:xfrm>
          <a:off x="3739818" y="13779501"/>
          <a:ext cx="741948" cy="213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 b="1">
              <a:solidFill>
                <a:srgbClr val="0070C0"/>
              </a:solidFill>
              <a:latin typeface="Aptos Narrow" panose="020B0004020202020204" pitchFamily="34" charset="0"/>
            </a:rPr>
            <a:t>Growth</a:t>
          </a:r>
        </a:p>
      </xdr:txBody>
    </xdr:sp>
    <xdr:clientData/>
  </xdr:twoCellAnchor>
  <xdr:twoCellAnchor>
    <xdr:from>
      <xdr:col>2</xdr:col>
      <xdr:colOff>416035</xdr:colOff>
      <xdr:row>74</xdr:row>
      <xdr:rowOff>176251</xdr:rowOff>
    </xdr:from>
    <xdr:to>
      <xdr:col>6</xdr:col>
      <xdr:colOff>980157</xdr:colOff>
      <xdr:row>75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941E8D4F-676B-9F8B-9EA8-903AE665F255}"/>
            </a:ext>
          </a:extLst>
        </xdr:cNvPr>
        <xdr:cNvCxnSpPr/>
      </xdr:nvCxnSpPr>
      <xdr:spPr>
        <a:xfrm flipH="1">
          <a:off x="2164110" y="13679125"/>
          <a:ext cx="4282886" cy="6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1016000</xdr:colOff>
      <xdr:row>76</xdr:row>
      <xdr:rowOff>49181</xdr:rowOff>
    </xdr:from>
    <xdr:to>
      <xdr:col>1</xdr:col>
      <xdr:colOff>1016000</xdr:colOff>
      <xdr:row>80</xdr:row>
      <xdr:rowOff>149444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3C209E21-58A8-47DB-ABEB-A4405AC8C2B2}"/>
            </a:ext>
          </a:extLst>
        </xdr:cNvPr>
        <xdr:cNvCxnSpPr/>
      </xdr:nvCxnSpPr>
      <xdr:spPr>
        <a:xfrm flipV="1">
          <a:off x="1313341" y="14029260"/>
          <a:ext cx="0" cy="8360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EA0B-BE71-4F57-8859-1B5FFA4AA7F5}">
  <dimension ref="A1:AP161"/>
  <sheetViews>
    <sheetView tabSelected="1" zoomScale="83" zoomScaleNormal="109" workbookViewId="0">
      <selection activeCell="I8" sqref="I8"/>
    </sheetView>
  </sheetViews>
  <sheetFormatPr baseColWidth="10" defaultColWidth="8.7265625" defaultRowHeight="14.5" x14ac:dyDescent="0.35"/>
  <cols>
    <col min="1" max="1" width="3.54296875" style="4" customWidth="1"/>
    <col min="2" max="2" width="20.7265625" style="4" customWidth="1"/>
    <col min="3" max="3" width="13.08984375" style="4" bestFit="1" customWidth="1"/>
    <col min="4" max="4" width="15.54296875" style="62" customWidth="1"/>
    <col min="5" max="5" width="13.36328125" style="63" customWidth="1"/>
    <col min="6" max="6" width="14.90625" style="4" customWidth="1"/>
    <col min="7" max="7" width="14.453125" style="4" customWidth="1"/>
    <col min="8" max="8" width="13.90625" style="4" customWidth="1"/>
    <col min="9" max="9" width="13.36328125" style="4" customWidth="1"/>
    <col min="10" max="16384" width="8.7265625" style="4"/>
  </cols>
  <sheetData>
    <row r="1" spans="1:42" x14ac:dyDescent="0.35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2.5" customHeight="1" x14ac:dyDescent="0.35">
      <c r="A2" s="1"/>
      <c r="B2" s="5" t="s">
        <v>90</v>
      </c>
      <c r="C2" s="5"/>
      <c r="D2" s="6" t="s">
        <v>91</v>
      </c>
      <c r="E2" s="6"/>
      <c r="F2" s="6"/>
      <c r="G2" s="6"/>
      <c r="H2" s="7" t="s">
        <v>102</v>
      </c>
      <c r="I2" s="8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35">
      <c r="A3" s="1"/>
      <c r="B3" s="1"/>
      <c r="C3" s="1"/>
      <c r="D3" s="2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35">
      <c r="A4" s="1"/>
      <c r="B4" s="10" t="s">
        <v>46</v>
      </c>
      <c r="C4" s="10"/>
      <c r="D4" s="10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5">
      <c r="A5" s="1"/>
      <c r="B5" s="1"/>
      <c r="C5" s="1"/>
      <c r="D5" s="2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6" x14ac:dyDescent="0.4">
      <c r="A6" s="1"/>
      <c r="B6" s="11" t="s">
        <v>0</v>
      </c>
      <c r="C6" s="12"/>
      <c r="D6" s="13" t="s">
        <v>42</v>
      </c>
      <c r="E6" s="14"/>
      <c r="F6" s="15"/>
      <c r="G6" s="15"/>
      <c r="H6" s="15"/>
      <c r="I6" s="15"/>
      <c r="J6" s="1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35">
      <c r="A7" s="1"/>
      <c r="B7" s="1" t="s">
        <v>1</v>
      </c>
      <c r="C7" s="1"/>
      <c r="D7" s="16" t="s">
        <v>94</v>
      </c>
      <c r="E7" s="17"/>
      <c r="F7" s="1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35">
      <c r="A8" s="1"/>
      <c r="B8" s="1" t="s">
        <v>2</v>
      </c>
      <c r="C8" s="1"/>
      <c r="D8" s="16">
        <f>Financials!C38</f>
        <v>0.23849956463916644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5">
      <c r="A9" s="1"/>
      <c r="B9" s="1" t="s">
        <v>3</v>
      </c>
      <c r="C9" s="1"/>
      <c r="D9" s="16">
        <f>Financials!C41</f>
        <v>0.29166666666666669</v>
      </c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35">
      <c r="A10" s="1"/>
      <c r="B10" s="1" t="s">
        <v>4</v>
      </c>
      <c r="C10" s="1"/>
      <c r="D10" s="16">
        <f>Financials!C44</f>
        <v>7.0241626150983047E-2</v>
      </c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2" x14ac:dyDescent="0.35">
      <c r="A11" s="1"/>
      <c r="B11" s="1" t="s">
        <v>5</v>
      </c>
      <c r="C11" s="1"/>
      <c r="D11" s="16">
        <f>Financials!C46</f>
        <v>6.9555914956204973E-2</v>
      </c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5">
      <c r="A12" s="1"/>
      <c r="B12" s="1" t="s">
        <v>6</v>
      </c>
      <c r="C12" s="1"/>
      <c r="D12" s="16">
        <f>Financials!C48</f>
        <v>2.7662115056617198E-2</v>
      </c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35">
      <c r="A13" s="1"/>
      <c r="B13" s="1" t="s">
        <v>7</v>
      </c>
      <c r="C13" s="1"/>
      <c r="D13" s="19">
        <f>Financials!G35</f>
        <v>7.7147396336480503E-2</v>
      </c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35">
      <c r="A14" s="1"/>
      <c r="B14" s="1" t="s">
        <v>8</v>
      </c>
      <c r="C14" s="1"/>
      <c r="D14" s="19">
        <f>Financials!G45</f>
        <v>2.5000000000000001E-2</v>
      </c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35">
      <c r="A15" s="1"/>
      <c r="B15" s="1"/>
      <c r="C15" s="1"/>
      <c r="D15" s="20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5">
      <c r="A16" s="1"/>
      <c r="B16" s="1"/>
      <c r="C16" s="1"/>
      <c r="D16" s="2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5">
      <c r="A17" s="1"/>
      <c r="B17" s="1"/>
      <c r="C17" s="1"/>
      <c r="D17" s="2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6" x14ac:dyDescent="0.4">
      <c r="A18" s="1"/>
      <c r="B18" s="11" t="s">
        <v>9</v>
      </c>
      <c r="C18" s="12"/>
      <c r="D18" s="21"/>
      <c r="E18" s="21"/>
      <c r="F18" s="21"/>
      <c r="G18" s="21"/>
      <c r="H18" s="21"/>
      <c r="I18" s="2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5">
      <c r="A19" s="1"/>
      <c r="B19" s="1"/>
      <c r="C19" s="1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35">
      <c r="A20" s="1"/>
      <c r="B20" s="2"/>
      <c r="C20" s="2"/>
      <c r="D20" s="22" t="s">
        <v>48</v>
      </c>
      <c r="E20" s="23" t="s">
        <v>11</v>
      </c>
      <c r="F20" s="22" t="s">
        <v>12</v>
      </c>
      <c r="G20" s="23" t="s">
        <v>13</v>
      </c>
      <c r="H20" s="22" t="s">
        <v>14</v>
      </c>
      <c r="I20" s="22" t="s">
        <v>49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28" customFormat="1" x14ac:dyDescent="0.35">
      <c r="A21" s="24"/>
      <c r="B21" s="25" t="s">
        <v>15</v>
      </c>
      <c r="C21" s="25"/>
      <c r="D21" s="26">
        <f>Financials!E7</f>
        <v>80807</v>
      </c>
      <c r="E21" s="27">
        <f>D21*(1+E22)</f>
        <v>84443.314999999988</v>
      </c>
      <c r="F21" s="27">
        <f t="shared" ref="F21" si="0">E21*(1+F22)</f>
        <v>88665.480749999988</v>
      </c>
      <c r="G21" s="27">
        <f t="shared" ref="G21:H21" si="1">F21*(1+G22)</f>
        <v>93542.082191249981</v>
      </c>
      <c r="H21" s="27">
        <f t="shared" si="1"/>
        <v>98219.186300812478</v>
      </c>
      <c r="I21" s="27">
        <f>H21*(1+I22)</f>
        <v>102639.04968434904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</row>
    <row r="22" spans="1:42" x14ac:dyDescent="0.35">
      <c r="A22" s="1"/>
      <c r="B22" s="2" t="s">
        <v>16</v>
      </c>
      <c r="C22" s="2"/>
      <c r="D22" s="29" t="str">
        <f>""</f>
        <v/>
      </c>
      <c r="E22" s="30">
        <f>Financials!C23</f>
        <v>4.4999999999999998E-2</v>
      </c>
      <c r="F22" s="30">
        <f>Financials!C24</f>
        <v>0.05</v>
      </c>
      <c r="G22" s="30">
        <f>Financials!C25</f>
        <v>5.5E-2</v>
      </c>
      <c r="H22" s="30">
        <f>Financials!C26</f>
        <v>0.05</v>
      </c>
      <c r="I22" s="30">
        <f>Financials!C27</f>
        <v>4.4999999999999998E-2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5">
      <c r="A23" s="1"/>
      <c r="B23" s="2"/>
      <c r="C23" s="2"/>
      <c r="D23" s="31"/>
      <c r="E23" s="32"/>
      <c r="F23" s="32"/>
      <c r="G23" s="32"/>
      <c r="H23" s="32"/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5">
      <c r="A24" s="1"/>
      <c r="B24" s="2" t="s">
        <v>2</v>
      </c>
      <c r="C24" s="2"/>
      <c r="D24" s="30">
        <f>Financials!C37</f>
        <v>0.21972106376922793</v>
      </c>
      <c r="E24" s="19">
        <f>$D$8</f>
        <v>0.23849956463916644</v>
      </c>
      <c r="F24" s="19">
        <f t="shared" ref="F24:I24" si="2">$D$8</f>
        <v>0.23849956463916644</v>
      </c>
      <c r="G24" s="19">
        <f t="shared" si="2"/>
        <v>0.23849956463916644</v>
      </c>
      <c r="H24" s="19">
        <f t="shared" si="2"/>
        <v>0.23849956463916644</v>
      </c>
      <c r="I24" s="19">
        <f t="shared" si="2"/>
        <v>0.23849956463916644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s="28" customFormat="1" x14ac:dyDescent="0.35">
      <c r="A25" s="24"/>
      <c r="B25" s="25" t="s">
        <v>17</v>
      </c>
      <c r="C25" s="25"/>
      <c r="D25" s="26">
        <f>Financials!E8</f>
        <v>17755</v>
      </c>
      <c r="E25" s="27">
        <f>E21*E24</f>
        <v>20139.69386418799</v>
      </c>
      <c r="F25" s="27">
        <f t="shared" ref="F25:H25" si="3">F21*F24</f>
        <v>21146.67855739739</v>
      </c>
      <c r="G25" s="27">
        <f t="shared" si="3"/>
        <v>22309.745878054244</v>
      </c>
      <c r="H25" s="27">
        <f t="shared" si="3"/>
        <v>23425.233171956956</v>
      </c>
      <c r="I25" s="27">
        <f>I21*I24</f>
        <v>24479.368664695019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x14ac:dyDescent="0.35">
      <c r="A26" s="1"/>
      <c r="B26" s="2"/>
      <c r="C26" s="2"/>
      <c r="D26" s="33"/>
      <c r="E26" s="33"/>
      <c r="F26" s="33"/>
      <c r="G26" s="33"/>
      <c r="H26" s="33"/>
      <c r="I26" s="3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5">
      <c r="A27" s="1"/>
      <c r="B27" s="2" t="s">
        <v>18</v>
      </c>
      <c r="C27" s="2"/>
      <c r="D27" s="27">
        <f>D25*Financials!E15</f>
        <v>5823.64</v>
      </c>
      <c r="E27" s="27">
        <f t="shared" ref="E27:I27" si="4">E25*$D$9</f>
        <v>5874.0773770548303</v>
      </c>
      <c r="F27" s="27">
        <f t="shared" si="4"/>
        <v>6167.7812459075722</v>
      </c>
      <c r="G27" s="27">
        <f t="shared" si="4"/>
        <v>6507.0092144324881</v>
      </c>
      <c r="H27" s="27">
        <f t="shared" si="4"/>
        <v>6832.3596751541127</v>
      </c>
      <c r="I27" s="27">
        <f t="shared" si="4"/>
        <v>7139.8158605360477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5">
      <c r="A28" s="1"/>
      <c r="B28" s="2" t="s">
        <v>19</v>
      </c>
      <c r="C28" s="2"/>
      <c r="D28" s="27">
        <f>D25-D27</f>
        <v>11931.36</v>
      </c>
      <c r="E28" s="27">
        <f t="shared" ref="E28:I28" si="5">E25-E27</f>
        <v>14265.61648713316</v>
      </c>
      <c r="F28" s="27">
        <f t="shared" si="5"/>
        <v>14978.897311489818</v>
      </c>
      <c r="G28" s="27">
        <f t="shared" si="5"/>
        <v>15802.736663621756</v>
      </c>
      <c r="H28" s="27">
        <f t="shared" si="5"/>
        <v>16592.873496802844</v>
      </c>
      <c r="I28" s="27">
        <f t="shared" si="5"/>
        <v>17339.552804158971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5">
      <c r="A29" s="1"/>
      <c r="B29" s="2" t="s">
        <v>20</v>
      </c>
      <c r="C29" s="2"/>
      <c r="D29" s="27">
        <f>Financials!E10</f>
        <v>6088</v>
      </c>
      <c r="E29" s="27">
        <f t="shared" ref="E29:I29" si="6">E21*$D$10</f>
        <v>5931.4357631796984</v>
      </c>
      <c r="F29" s="27">
        <f t="shared" si="6"/>
        <v>6228.0075513386828</v>
      </c>
      <c r="G29" s="27">
        <f t="shared" si="6"/>
        <v>6570.5479666623105</v>
      </c>
      <c r="H29" s="27">
        <f t="shared" si="6"/>
        <v>6899.0753649954258</v>
      </c>
      <c r="I29" s="27">
        <f t="shared" si="6"/>
        <v>7209.53375642022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5">
      <c r="A30" s="1"/>
      <c r="B30" s="2" t="s">
        <v>21</v>
      </c>
      <c r="C30" s="2"/>
      <c r="D30" s="27">
        <f>Financials!E11</f>
        <v>4570</v>
      </c>
      <c r="E30" s="27">
        <f t="shared" ref="E30:I30" si="7">E21*$D$11</f>
        <v>5873.532036760027</v>
      </c>
      <c r="F30" s="27">
        <f t="shared" si="7"/>
        <v>6167.2086385980283</v>
      </c>
      <c r="G30" s="27">
        <f t="shared" si="7"/>
        <v>6506.405113720919</v>
      </c>
      <c r="H30" s="27">
        <f t="shared" si="7"/>
        <v>6831.725369406965</v>
      </c>
      <c r="I30" s="27">
        <f t="shared" si="7"/>
        <v>7139.1530110302783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5">
      <c r="A31" s="1"/>
      <c r="B31" s="2" t="s">
        <v>22</v>
      </c>
      <c r="C31" s="2"/>
      <c r="D31" s="27">
        <f>Financials!E12</f>
        <v>576</v>
      </c>
      <c r="E31" s="27">
        <f t="shared" ref="E31:I31" si="8">E21*$D$12</f>
        <v>2335.8806952921686</v>
      </c>
      <c r="F31" s="27">
        <f t="shared" si="8"/>
        <v>2452.6747300567772</v>
      </c>
      <c r="G31" s="27">
        <f t="shared" si="8"/>
        <v>2587.5718402098996</v>
      </c>
      <c r="H31" s="27">
        <f t="shared" si="8"/>
        <v>2716.9504322203943</v>
      </c>
      <c r="I31" s="27">
        <f t="shared" si="8"/>
        <v>2839.2132016703122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5">
      <c r="A32" s="1"/>
      <c r="B32" s="1"/>
      <c r="C32" s="1"/>
      <c r="D32" s="32"/>
      <c r="E32" s="32"/>
      <c r="F32" s="32"/>
      <c r="G32" s="32"/>
      <c r="H32" s="32"/>
      <c r="I32" s="3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35">
      <c r="A33" s="1"/>
      <c r="B33" s="1"/>
      <c r="C33" s="1"/>
      <c r="D33" s="32"/>
      <c r="E33" s="32"/>
      <c r="F33" s="32"/>
      <c r="G33" s="32"/>
      <c r="H33" s="32"/>
      <c r="I33" s="3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35">
      <c r="A34" s="1"/>
      <c r="B34" s="1"/>
      <c r="C34" s="1"/>
      <c r="D34" s="32"/>
      <c r="E34" s="32"/>
      <c r="F34" s="32"/>
      <c r="G34" s="32"/>
      <c r="H34" s="32"/>
      <c r="I34" s="3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6" x14ac:dyDescent="0.4">
      <c r="A35" s="1"/>
      <c r="B35" s="11" t="s">
        <v>23</v>
      </c>
      <c r="C35" s="12"/>
      <c r="D35" s="22"/>
      <c r="E35" s="22"/>
      <c r="F35" s="22"/>
      <c r="G35" s="22"/>
      <c r="H35" s="22"/>
      <c r="I35" s="22"/>
      <c r="J35" s="1"/>
      <c r="K35" s="1"/>
      <c r="L35" s="1"/>
      <c r="M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35">
      <c r="A36" s="1"/>
      <c r="B36" s="1"/>
      <c r="C36" s="1"/>
      <c r="D36" s="32"/>
      <c r="E36" s="32"/>
      <c r="F36" s="32"/>
      <c r="G36" s="32"/>
      <c r="H36" s="32"/>
      <c r="I36" s="3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35">
      <c r="A37" s="1"/>
      <c r="B37" s="1"/>
      <c r="C37" s="1"/>
      <c r="D37" s="22" t="s">
        <v>48</v>
      </c>
      <c r="E37" s="23" t="s">
        <v>11</v>
      </c>
      <c r="F37" s="22" t="s">
        <v>12</v>
      </c>
      <c r="G37" s="23" t="s">
        <v>13</v>
      </c>
      <c r="H37" s="22" t="s">
        <v>14</v>
      </c>
      <c r="I37" s="22" t="s">
        <v>49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35">
      <c r="A38" s="1"/>
      <c r="B38" s="1" t="s">
        <v>23</v>
      </c>
      <c r="C38" s="1"/>
      <c r="D38" s="34">
        <f>D28+D29-D30-D31</f>
        <v>12873.36</v>
      </c>
      <c r="E38" s="34">
        <f t="shared" ref="E38:I38" si="9">E28+E29-E30-E31</f>
        <v>11987.639518260665</v>
      </c>
      <c r="F38" s="34">
        <f t="shared" si="9"/>
        <v>12587.021494173696</v>
      </c>
      <c r="G38" s="34">
        <f t="shared" si="9"/>
        <v>13279.307676353248</v>
      </c>
      <c r="H38" s="34">
        <f t="shared" si="9"/>
        <v>13943.273060170912</v>
      </c>
      <c r="I38" s="34">
        <f t="shared" si="9"/>
        <v>14570.720347878601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35">
      <c r="A39" s="1"/>
      <c r="B39" s="35" t="s">
        <v>100</v>
      </c>
      <c r="C39" s="35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35">
      <c r="A40" s="1"/>
      <c r="B40" s="1"/>
      <c r="C40" s="1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35">
      <c r="A41" s="1"/>
      <c r="B41" s="1"/>
      <c r="C41" s="1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35">
      <c r="A42" s="1"/>
      <c r="B42" s="1"/>
      <c r="C42" s="1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6" x14ac:dyDescent="0.4">
      <c r="A43" s="1"/>
      <c r="B43" s="11" t="s">
        <v>24</v>
      </c>
      <c r="C43" s="12"/>
      <c r="D43" s="21"/>
      <c r="E43" s="21"/>
      <c r="F43" s="21"/>
      <c r="G43" s="21"/>
      <c r="H43" s="21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35">
      <c r="A44" s="1"/>
      <c r="B44" s="1"/>
      <c r="C44" s="1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35">
      <c r="A45" s="1"/>
      <c r="B45" s="1"/>
      <c r="C45" s="1"/>
      <c r="D45" s="22" t="s">
        <v>48</v>
      </c>
      <c r="E45" s="23" t="s">
        <v>11</v>
      </c>
      <c r="F45" s="22" t="s">
        <v>12</v>
      </c>
      <c r="G45" s="23" t="s">
        <v>13</v>
      </c>
      <c r="H45" s="22" t="s">
        <v>14</v>
      </c>
      <c r="I45" s="22" t="s">
        <v>49</v>
      </c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35">
      <c r="A46" s="1"/>
      <c r="B46" s="1" t="s">
        <v>25</v>
      </c>
      <c r="C46" s="1"/>
      <c r="D46" s="36"/>
      <c r="E46" s="16">
        <f>1/(1+$D$13)^1</f>
        <v>0.92837805058168543</v>
      </c>
      <c r="F46" s="16">
        <f>1/(1+$D$13)^2</f>
        <v>0.86188580480185051</v>
      </c>
      <c r="G46" s="16">
        <f>1/(1+$D$13)^3</f>
        <v>0.80015586328596899</v>
      </c>
      <c r="H46" s="16">
        <f>1/(1+$D$13)^4</f>
        <v>0.74284714051893364</v>
      </c>
      <c r="I46" s="16">
        <f>1/(1+$D$13)^5</f>
        <v>0.68964298019514703</v>
      </c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35">
      <c r="A47" s="1"/>
      <c r="B47" s="1" t="s">
        <v>26</v>
      </c>
      <c r="C47" s="1"/>
      <c r="D47" s="37"/>
      <c r="E47" s="34">
        <f t="shared" ref="E47:I47" si="10">E38*E46</f>
        <v>11129.061407038811</v>
      </c>
      <c r="F47" s="34">
        <f t="shared" si="10"/>
        <v>10848.575150564087</v>
      </c>
      <c r="G47" s="34">
        <f t="shared" si="10"/>
        <v>10625.515897612428</v>
      </c>
      <c r="H47" s="34">
        <f t="shared" si="10"/>
        <v>10357.720522222644</v>
      </c>
      <c r="I47" s="34">
        <f t="shared" si="10"/>
        <v>10048.595004301069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35">
      <c r="A48" s="1"/>
      <c r="B48" s="38"/>
      <c r="C48" s="38"/>
      <c r="D48" s="39"/>
      <c r="E48" s="39"/>
      <c r="F48" s="39"/>
      <c r="G48" s="39"/>
      <c r="H48" s="39"/>
      <c r="I48" s="3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35">
      <c r="A49" s="1"/>
      <c r="B49" s="1"/>
      <c r="C49" s="1"/>
      <c r="D49" s="25"/>
      <c r="E49" s="25"/>
      <c r="F49" s="25"/>
      <c r="G49" s="25"/>
      <c r="H49" s="25"/>
      <c r="I49" s="2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35">
      <c r="A50" s="1"/>
      <c r="B50" s="1" t="s">
        <v>27</v>
      </c>
      <c r="C50" s="40">
        <f>I38*(1+$D$14)/($D$13-$D$14)</f>
        <v>286399.50229169097</v>
      </c>
      <c r="D50" s="41"/>
      <c r="E50" s="3"/>
      <c r="F50" s="25"/>
      <c r="G50" s="25"/>
      <c r="H50" s="2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35">
      <c r="A51" s="1"/>
      <c r="B51" s="1" t="s">
        <v>28</v>
      </c>
      <c r="C51" s="40">
        <f>C50*I46</f>
        <v>197513.40628684859</v>
      </c>
      <c r="D51" s="41"/>
      <c r="E51" s="3"/>
      <c r="F51" s="25"/>
      <c r="G51" s="25"/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35">
      <c r="A52" s="1"/>
      <c r="B52" s="1"/>
      <c r="C52" s="42"/>
      <c r="D52" s="43"/>
      <c r="E52" s="3"/>
      <c r="F52" s="25"/>
      <c r="G52" s="25"/>
      <c r="H52" s="2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35">
      <c r="A53" s="1"/>
      <c r="B53" s="1" t="s">
        <v>92</v>
      </c>
      <c r="C53" s="44">
        <f>SUM(E47:I47)+C51</f>
        <v>250522.87426858762</v>
      </c>
      <c r="D53" s="41"/>
      <c r="E53" s="3"/>
      <c r="F53" s="2"/>
      <c r="G53" s="2"/>
      <c r="H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5">
      <c r="A54" s="1"/>
      <c r="B54" s="45" t="s">
        <v>44</v>
      </c>
      <c r="C54" s="46">
        <f>Financials!E13</f>
        <v>6857</v>
      </c>
      <c r="D54" s="4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35">
      <c r="A55" s="1"/>
      <c r="B55" s="1" t="str">
        <f>"= Equity Value"</f>
        <v>= Equity Value</v>
      </c>
      <c r="C55" s="48">
        <f>C53-C54</f>
        <v>243665.87426858762</v>
      </c>
      <c r="D55" s="24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35">
      <c r="A56" s="1"/>
      <c r="B56" s="1"/>
      <c r="C56" s="49"/>
      <c r="D56" s="24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35">
      <c r="A57" s="1"/>
      <c r="B57" s="1" t="s">
        <v>29</v>
      </c>
      <c r="C57" s="49">
        <f>(C53-C54)/Financials!E14</f>
        <v>491.26184328344277</v>
      </c>
      <c r="D57" s="24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35">
      <c r="A58" s="1"/>
      <c r="B58" s="1"/>
      <c r="C58" s="1"/>
      <c r="D58" s="2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35">
      <c r="A59" s="1"/>
      <c r="B59" s="1"/>
      <c r="C59" s="1"/>
      <c r="D59" s="2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6" x14ac:dyDescent="0.4">
      <c r="A61" s="1"/>
      <c r="B61" s="64" t="s">
        <v>30</v>
      </c>
      <c r="C61" s="5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35">
      <c r="A63" s="1"/>
      <c r="B63" s="1" t="str">
        <f t="shared" ref="B63:B65" si="11">B53</f>
        <v>Enterprise Value</v>
      </c>
      <c r="C63" s="51">
        <f>C53</f>
        <v>250522.87426858762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35">
      <c r="A64" s="1"/>
      <c r="B64" s="38" t="str">
        <f t="shared" si="11"/>
        <v>Less Net Debt</v>
      </c>
      <c r="C64" s="52">
        <f>C54</f>
        <v>6857</v>
      </c>
      <c r="D64" s="2"/>
      <c r="E64" s="3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35">
      <c r="A65" s="1"/>
      <c r="B65" s="1" t="str">
        <f t="shared" si="11"/>
        <v>= Equity Value</v>
      </c>
      <c r="C65" s="53">
        <f>C55</f>
        <v>243665.87426858762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35">
      <c r="A66" s="1"/>
      <c r="B66" s="1"/>
      <c r="C66" s="3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35">
      <c r="A67" s="1"/>
      <c r="B67" s="1" t="s">
        <v>31</v>
      </c>
      <c r="C67" s="31">
        <f>Financials!E14</f>
        <v>496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5">
      <c r="A68" s="1"/>
      <c r="B68" s="1" t="str">
        <f>"= Price per share"</f>
        <v>= Price per share</v>
      </c>
      <c r="C68" s="33">
        <f>C57</f>
        <v>491.26184328344277</v>
      </c>
      <c r="D68" s="2"/>
      <c r="E68" s="54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5">
      <c r="A69" s="1"/>
      <c r="B69" s="1"/>
      <c r="C69" s="3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5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5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42" ht="16" x14ac:dyDescent="0.4">
      <c r="A72" s="1"/>
      <c r="B72" s="112" t="s">
        <v>32</v>
      </c>
      <c r="C72" s="112"/>
      <c r="D72" s="112"/>
      <c r="E72" s="112"/>
      <c r="F72" s="112"/>
      <c r="G72" s="1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42" x14ac:dyDescent="0.35">
      <c r="A73" s="1"/>
      <c r="B73" s="35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42" x14ac:dyDescent="0.35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42" x14ac:dyDescent="0.35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42" x14ac:dyDescent="0.35">
      <c r="A76" s="1"/>
      <c r="B76" s="55">
        <f>C68</f>
        <v>491.26184328344277</v>
      </c>
      <c r="C76" s="56">
        <v>0.02</v>
      </c>
      <c r="D76" s="56">
        <v>2.2499999999999999E-2</v>
      </c>
      <c r="E76" s="56">
        <v>2.5000000000000001E-2</v>
      </c>
      <c r="F76" s="56">
        <v>2.75E-2</v>
      </c>
      <c r="G76" s="56">
        <v>0.03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42" x14ac:dyDescent="0.35">
      <c r="A77" s="1"/>
      <c r="B77" s="57">
        <v>7.0000000000000007E-2</v>
      </c>
      <c r="C77" s="58">
        <f t="dataTable" ref="C77:G81" dt2D="1" dtr="1" r1="D14" r2="D13"/>
        <v>522.45196809640674</v>
      </c>
      <c r="D77" s="58">
        <v>546.04265737798562</v>
      </c>
      <c r="E77" s="58">
        <v>572.25453435751797</v>
      </c>
      <c r="F77" s="58">
        <v>601.55016156993634</v>
      </c>
      <c r="G77" s="58">
        <v>634.50774218390711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42" x14ac:dyDescent="0.35">
      <c r="A78" s="1"/>
      <c r="B78" s="57">
        <v>7.4999999999999997E-2</v>
      </c>
      <c r="C78" s="58">
        <v>473.16567927437018</v>
      </c>
      <c r="D78" s="58">
        <v>492.21079014525918</v>
      </c>
      <c r="E78" s="58">
        <v>513.16041210323692</v>
      </c>
      <c r="F78" s="58">
        <v>536.31525742521274</v>
      </c>
      <c r="G78" s="58">
        <v>562.04286333851894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42" x14ac:dyDescent="0.35">
      <c r="A79" s="1"/>
      <c r="B79" s="57">
        <v>0.08</v>
      </c>
      <c r="C79" s="58">
        <v>432.10251364993019</v>
      </c>
      <c r="D79" s="58">
        <v>447.7493030848874</v>
      </c>
      <c r="E79" s="58">
        <v>464.81852792302243</v>
      </c>
      <c r="F79" s="58">
        <v>483.5133932219324</v>
      </c>
      <c r="G79" s="58">
        <v>504.07774505073331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42" x14ac:dyDescent="0.35">
      <c r="A80" s="1"/>
      <c r="B80" s="57">
        <v>8.5000000000000006E-2</v>
      </c>
      <c r="C80" s="58">
        <v>397.36463755537875</v>
      </c>
      <c r="D80" s="58">
        <v>410.4091252803031</v>
      </c>
      <c r="E80" s="58">
        <v>424.5406536489711</v>
      </c>
      <c r="F80" s="58">
        <v>439.90101057143636</v>
      </c>
      <c r="G80" s="58">
        <v>456.65776357776201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35">
      <c r="A81" s="1"/>
      <c r="B81" s="57">
        <v>0.09</v>
      </c>
      <c r="C81" s="58">
        <v>367.59646057442791</v>
      </c>
      <c r="D81" s="58">
        <v>378.60758196653597</v>
      </c>
      <c r="E81" s="58">
        <v>390.46571269649854</v>
      </c>
      <c r="F81" s="58">
        <v>403.27249388485825</v>
      </c>
      <c r="G81" s="58">
        <v>417.14650683891449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35">
      <c r="A82" s="1"/>
      <c r="B82" s="32"/>
      <c r="C82" s="1"/>
      <c r="D82" s="2"/>
      <c r="E82" s="3"/>
      <c r="F82" s="1"/>
      <c r="G82" s="1" t="s">
        <v>43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35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35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3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35">
      <c r="A92" s="1"/>
      <c r="B92" s="1"/>
      <c r="C92" s="1"/>
      <c r="D92" s="59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35">
      <c r="A93" s="1"/>
      <c r="B93" s="1"/>
      <c r="C93" s="1"/>
      <c r="D93" s="59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35">
      <c r="A94" s="1"/>
      <c r="B94" s="1"/>
      <c r="C94" s="60"/>
      <c r="D94" s="6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35">
      <c r="A95" s="1"/>
      <c r="B95" s="1"/>
      <c r="C95" s="1"/>
      <c r="D95" s="2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35">
      <c r="A96" s="1"/>
      <c r="B96" s="1"/>
      <c r="C96" s="1"/>
      <c r="D96" s="2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35">
      <c r="A97" s="1"/>
      <c r="B97" s="1"/>
      <c r="C97" s="1"/>
      <c r="D97" s="2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35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35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35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35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35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35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35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35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35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35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35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35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35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35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35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35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35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35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35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35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35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35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35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35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35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35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35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35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35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35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35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35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35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35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35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35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35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35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35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35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35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35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35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35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35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35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35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35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35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35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35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35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35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35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35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35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35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35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35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35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35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35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35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35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</sheetData>
  <mergeCells count="5">
    <mergeCell ref="B2:C2"/>
    <mergeCell ref="B4:D4"/>
    <mergeCell ref="H2:I2"/>
    <mergeCell ref="D2:G2"/>
    <mergeCell ref="B72:G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6"/>
  <sheetViews>
    <sheetView topLeftCell="A28" zoomScale="79" zoomScaleNormal="75" workbookViewId="0">
      <selection activeCell="I24" sqref="I24"/>
    </sheetView>
  </sheetViews>
  <sheetFormatPr baseColWidth="10" defaultColWidth="8.7265625" defaultRowHeight="14.5" x14ac:dyDescent="0.35"/>
  <cols>
    <col min="1" max="1" width="3.6328125" style="4" customWidth="1"/>
    <col min="2" max="2" width="30.36328125" style="62" bestFit="1" customWidth="1"/>
    <col min="3" max="3" width="12" style="4" customWidth="1"/>
    <col min="4" max="4" width="8.7265625" style="4"/>
    <col min="5" max="5" width="9.7265625" style="4" customWidth="1"/>
    <col min="6" max="6" width="25.54296875" style="4" customWidth="1"/>
    <col min="7" max="7" width="8.54296875" style="4" customWidth="1"/>
    <col min="8" max="8" width="7" style="4" customWidth="1"/>
    <col min="9" max="9" width="27.26953125" style="4" customWidth="1"/>
    <col min="10" max="10" width="7.6328125" style="4" customWidth="1"/>
    <col min="11" max="16384" width="8.7265625" style="4"/>
  </cols>
  <sheetData>
    <row r="1" spans="1:43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65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24" customHeight="1" x14ac:dyDescent="0.35">
      <c r="A2" s="1"/>
      <c r="B2" s="5" t="s">
        <v>90</v>
      </c>
      <c r="C2" s="5"/>
      <c r="D2" s="66" t="s">
        <v>45</v>
      </c>
      <c r="E2" s="66"/>
      <c r="F2" s="66"/>
      <c r="G2" s="66"/>
      <c r="H2" s="66"/>
      <c r="I2" s="66"/>
      <c r="J2" s="6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8.5" x14ac:dyDescent="0.35">
      <c r="A3" s="1"/>
      <c r="B3" s="67"/>
      <c r="C3" s="67"/>
      <c r="D3" s="68"/>
      <c r="E3" s="68"/>
      <c r="F3" s="68"/>
      <c r="G3" s="68"/>
      <c r="H3" s="68"/>
      <c r="I3" s="68"/>
      <c r="J3" s="6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5.5" customHeight="1" x14ac:dyDescent="0.35">
      <c r="A4" s="1"/>
      <c r="B4" s="10" t="s">
        <v>46</v>
      </c>
      <c r="C4" s="10"/>
      <c r="D4" s="10"/>
      <c r="E4" s="68"/>
      <c r="F4" s="68"/>
      <c r="G4" s="68"/>
      <c r="H4" s="68"/>
      <c r="I4" s="68"/>
      <c r="J4" s="6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5">
      <c r="A6" s="1"/>
      <c r="B6" s="2"/>
      <c r="C6" s="22" t="s">
        <v>33</v>
      </c>
      <c r="D6" s="22" t="s">
        <v>10</v>
      </c>
      <c r="E6" s="22" t="s">
        <v>48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5">
      <c r="A7" s="1"/>
      <c r="B7" s="2" t="s">
        <v>15</v>
      </c>
      <c r="C7" s="69">
        <v>86153</v>
      </c>
      <c r="D7" s="69">
        <v>84683</v>
      </c>
      <c r="E7" s="69">
        <v>80807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5">
      <c r="A8" s="1"/>
      <c r="B8" s="2" t="s">
        <v>51</v>
      </c>
      <c r="C8" s="69">
        <v>22802</v>
      </c>
      <c r="D8" s="69">
        <v>19571</v>
      </c>
      <c r="E8" s="69">
        <v>17755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5">
      <c r="A9" s="1"/>
      <c r="B9" s="2" t="s">
        <v>34</v>
      </c>
      <c r="C9" s="69">
        <v>15174</v>
      </c>
      <c r="D9" s="69">
        <v>12550</v>
      </c>
      <c r="E9" s="69">
        <v>10878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5">
      <c r="A10" s="1"/>
      <c r="B10" s="2" t="s">
        <v>20</v>
      </c>
      <c r="C10" s="69">
        <v>5521</v>
      </c>
      <c r="D10" s="69">
        <v>6038</v>
      </c>
      <c r="E10" s="69">
        <v>6088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5">
      <c r="A11" s="1"/>
      <c r="B11" s="2" t="s">
        <v>21</v>
      </c>
      <c r="C11" s="69">
        <v>7478</v>
      </c>
      <c r="D11" s="69">
        <v>5531</v>
      </c>
      <c r="E11" s="69">
        <v>4570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5">
      <c r="A12" s="1"/>
      <c r="B12" s="2" t="s">
        <v>22</v>
      </c>
      <c r="C12" s="69">
        <v>4577</v>
      </c>
      <c r="D12" s="69">
        <v>1925</v>
      </c>
      <c r="E12" s="69">
        <v>576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5">
      <c r="A13" s="1"/>
      <c r="B13" s="2" t="s">
        <v>50</v>
      </c>
      <c r="C13" s="69">
        <v>10746</v>
      </c>
      <c r="D13" s="69">
        <v>9228</v>
      </c>
      <c r="E13" s="69">
        <v>6857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5">
      <c r="A14" s="1"/>
      <c r="B14" s="2" t="s">
        <v>31</v>
      </c>
      <c r="C14" s="70">
        <v>502</v>
      </c>
      <c r="D14" s="70">
        <v>498</v>
      </c>
      <c r="E14" s="70">
        <v>496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35">
      <c r="A15" s="1"/>
      <c r="B15" s="2" t="s">
        <v>36</v>
      </c>
      <c r="C15" s="71">
        <v>0.26200000000000001</v>
      </c>
      <c r="D15" s="71">
        <v>0.28499999999999998</v>
      </c>
      <c r="E15" s="71">
        <v>0.32800000000000001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3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35">
      <c r="A17" s="65"/>
      <c r="B17" s="72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73"/>
      <c r="V17" s="73"/>
      <c r="W17" s="73"/>
      <c r="X17" s="73"/>
      <c r="Y17" s="73"/>
      <c r="Z17" s="73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1"/>
      <c r="AM17" s="1"/>
      <c r="AN17" s="1"/>
      <c r="AO17" s="1"/>
      <c r="AP17" s="1"/>
      <c r="AQ17" s="1"/>
    </row>
    <row r="18" spans="1:43" x14ac:dyDescent="0.3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" customHeight="1" x14ac:dyDescent="0.35">
      <c r="A19" s="1"/>
      <c r="B19" s="75"/>
      <c r="C19" s="75"/>
      <c r="D19" s="76" t="s">
        <v>37</v>
      </c>
      <c r="E19" s="76"/>
      <c r="F19" s="76"/>
      <c r="G19" s="75"/>
      <c r="H19" s="75"/>
      <c r="I19" s="75"/>
      <c r="J19" s="7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" customHeight="1" x14ac:dyDescent="0.3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4.5" customHeight="1" x14ac:dyDescent="0.4">
      <c r="A21" s="1"/>
      <c r="B21" s="78" t="s">
        <v>1</v>
      </c>
      <c r="C21" s="78"/>
      <c r="D21" s="1"/>
      <c r="E21" s="1"/>
      <c r="F21" s="79" t="s">
        <v>52</v>
      </c>
      <c r="G21" s="79"/>
      <c r="H21" s="79"/>
      <c r="I21" s="79"/>
      <c r="J21" s="79"/>
      <c r="K21" s="80"/>
      <c r="L21" s="8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4.5" customHeight="1" x14ac:dyDescent="0.35">
      <c r="A22" s="1"/>
      <c r="B22" s="81" t="s">
        <v>47</v>
      </c>
      <c r="C22" s="81"/>
      <c r="D22" s="1"/>
      <c r="E22" s="1"/>
      <c r="F22" s="82" t="s">
        <v>53</v>
      </c>
      <c r="G22" s="82" t="s">
        <v>54</v>
      </c>
      <c r="H22" s="82" t="s">
        <v>55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35">
      <c r="A23" s="1"/>
      <c r="B23" s="3" t="s">
        <v>72</v>
      </c>
      <c r="C23" s="83">
        <v>4.4999999999999998E-2</v>
      </c>
      <c r="D23" s="1"/>
      <c r="E23" s="1"/>
      <c r="F23" s="2" t="s">
        <v>57</v>
      </c>
      <c r="G23" s="83">
        <v>3.2000000000000001E-2</v>
      </c>
      <c r="H23" s="2" t="s">
        <v>65</v>
      </c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35">
      <c r="A24" s="1"/>
      <c r="B24" s="3" t="s">
        <v>73</v>
      </c>
      <c r="C24" s="83">
        <v>0.05</v>
      </c>
      <c r="D24" s="1"/>
      <c r="E24" s="2"/>
      <c r="F24" s="2" t="s">
        <v>58</v>
      </c>
      <c r="G24" s="83">
        <v>0.9</v>
      </c>
      <c r="H24" s="2" t="s">
        <v>93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5.5" customHeight="1" x14ac:dyDescent="0.35">
      <c r="A25" s="1"/>
      <c r="B25" s="3" t="s">
        <v>74</v>
      </c>
      <c r="C25" s="83">
        <v>5.5E-2</v>
      </c>
      <c r="D25" s="17"/>
      <c r="E25" s="1"/>
      <c r="F25" s="2" t="s">
        <v>59</v>
      </c>
      <c r="G25" s="83">
        <v>5.1999999999999998E-2</v>
      </c>
      <c r="H25" s="2" t="s">
        <v>66</v>
      </c>
      <c r="I25" s="1"/>
      <c r="J25" s="8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35">
      <c r="A26" s="1"/>
      <c r="B26" s="3" t="s">
        <v>75</v>
      </c>
      <c r="C26" s="83">
        <v>0.05</v>
      </c>
      <c r="D26" s="17"/>
      <c r="E26" s="1"/>
      <c r="F26" s="2" t="s">
        <v>56</v>
      </c>
      <c r="G26" s="85">
        <f>G23+G24*G25</f>
        <v>7.8800000000000009E-2</v>
      </c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35">
      <c r="A27" s="1"/>
      <c r="B27" s="3" t="s">
        <v>76</v>
      </c>
      <c r="C27" s="83">
        <v>4.4999999999999998E-2</v>
      </c>
      <c r="D27" s="17"/>
      <c r="E27" s="86"/>
      <c r="F27" s="2" t="s">
        <v>60</v>
      </c>
      <c r="G27" s="83">
        <v>3.2000000000000001E-2</v>
      </c>
      <c r="H27" s="2" t="s">
        <v>67</v>
      </c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35">
      <c r="A28" s="1"/>
      <c r="B28" s="2"/>
      <c r="C28" s="1"/>
      <c r="D28" s="17"/>
      <c r="E28" s="86"/>
      <c r="F28" s="2" t="s">
        <v>62</v>
      </c>
      <c r="G28" s="87">
        <f>AVERAGE(C15:E15)</f>
        <v>0.29166666666666669</v>
      </c>
      <c r="H28" s="2" t="s">
        <v>68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35">
      <c r="A29" s="1"/>
      <c r="B29" s="88" t="s">
        <v>77</v>
      </c>
      <c r="C29" s="88"/>
      <c r="D29" s="17"/>
      <c r="E29" s="86"/>
      <c r="F29" s="2" t="s">
        <v>61</v>
      </c>
      <c r="G29" s="85">
        <f>G27*(1-G28)</f>
        <v>2.2666666666666665E-2</v>
      </c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35">
      <c r="A30" s="1"/>
      <c r="B30" s="89" t="s">
        <v>79</v>
      </c>
      <c r="C30" s="90">
        <f>D7/C7-1</f>
        <v>-1.7062667579770818E-2</v>
      </c>
      <c r="D30" s="17"/>
      <c r="E30" s="86"/>
      <c r="F30" s="2" t="s">
        <v>70</v>
      </c>
      <c r="G30" s="91">
        <v>455.75</v>
      </c>
      <c r="H30" s="62" t="s">
        <v>101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35">
      <c r="A31" s="1"/>
      <c r="B31" s="89" t="s">
        <v>78</v>
      </c>
      <c r="C31" s="90">
        <f>E7/D7-1</f>
        <v>-4.577069777877496E-2</v>
      </c>
      <c r="D31" s="17"/>
      <c r="E31" s="86"/>
      <c r="F31" s="2" t="s">
        <v>69</v>
      </c>
      <c r="G31" s="2">
        <f>G30*E14</f>
        <v>226052</v>
      </c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35">
      <c r="A32" s="1"/>
      <c r="B32" s="89" t="s">
        <v>38</v>
      </c>
      <c r="C32" s="90">
        <f>AVERAGE(C30:C31)</f>
        <v>-3.1416682679272889E-2</v>
      </c>
      <c r="D32" s="17"/>
      <c r="E32" s="86"/>
      <c r="F32" s="2" t="s">
        <v>35</v>
      </c>
      <c r="G32" s="92">
        <f>E13</f>
        <v>6857</v>
      </c>
      <c r="H32" s="2" t="s">
        <v>67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35">
      <c r="A33" s="1"/>
      <c r="B33" s="2"/>
      <c r="C33" s="1"/>
      <c r="D33" s="17"/>
      <c r="E33" s="86"/>
      <c r="F33" s="2" t="s">
        <v>63</v>
      </c>
      <c r="G33" s="85">
        <f>G31/(G31+G32)</f>
        <v>0.97055931715820343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6" x14ac:dyDescent="0.4">
      <c r="A34" s="1"/>
      <c r="B34" s="78" t="s">
        <v>39</v>
      </c>
      <c r="C34" s="78"/>
      <c r="D34" s="17"/>
      <c r="E34" s="93"/>
      <c r="F34" s="94" t="s">
        <v>64</v>
      </c>
      <c r="G34" s="95">
        <f>G32/(G31+G32)</f>
        <v>2.9440682841796583E-2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35">
      <c r="A35" s="1"/>
      <c r="B35" s="2">
        <v>2023</v>
      </c>
      <c r="C35" s="96">
        <f>C8/C7</f>
        <v>0.26466867085301732</v>
      </c>
      <c r="D35" s="17"/>
      <c r="E35" s="2"/>
      <c r="F35" s="82" t="s">
        <v>7</v>
      </c>
      <c r="G35" s="97">
        <f>(G33*G26)+(G34*G29)</f>
        <v>7.7147396336480503E-2</v>
      </c>
      <c r="H35" s="98"/>
      <c r="I35" s="9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35">
      <c r="A36" s="1"/>
      <c r="B36" s="2">
        <v>2024</v>
      </c>
      <c r="C36" s="96">
        <f>D8/D7</f>
        <v>0.23110895929525407</v>
      </c>
      <c r="D36" s="17"/>
      <c r="E36" s="100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4.5" customHeight="1" x14ac:dyDescent="0.4">
      <c r="A37" s="1"/>
      <c r="B37" s="2">
        <v>2025</v>
      </c>
      <c r="C37" s="96">
        <f>E8/E7</f>
        <v>0.21972106376922793</v>
      </c>
      <c r="D37" s="17"/>
      <c r="E37" s="2"/>
      <c r="F37" s="79" t="s">
        <v>98</v>
      </c>
      <c r="G37" s="79"/>
      <c r="H37" s="79"/>
      <c r="I37" s="79"/>
      <c r="J37" s="79"/>
      <c r="K37" s="80"/>
      <c r="L37" s="8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35">
      <c r="A38" s="1"/>
      <c r="B38" s="2" t="s">
        <v>40</v>
      </c>
      <c r="C38" s="96">
        <f>AVERAGE(C35:C37)</f>
        <v>0.23849956463916644</v>
      </c>
      <c r="D38" s="17"/>
      <c r="E38" s="2"/>
      <c r="F38" s="10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35">
      <c r="A39" s="1"/>
      <c r="B39" s="2"/>
      <c r="C39" s="96"/>
      <c r="D39" s="17"/>
      <c r="E39" s="2"/>
      <c r="F39" s="1" t="s">
        <v>80</v>
      </c>
      <c r="G39" s="102">
        <v>0.25</v>
      </c>
      <c r="H39" s="1"/>
      <c r="I39" s="1" t="s">
        <v>84</v>
      </c>
      <c r="J39" s="71">
        <v>1.4999999999999999E-2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6" x14ac:dyDescent="0.4">
      <c r="A40" s="1"/>
      <c r="B40" s="78" t="s">
        <v>62</v>
      </c>
      <c r="C40" s="78"/>
      <c r="D40" s="17"/>
      <c r="E40" s="2"/>
      <c r="F40" s="1" t="s">
        <v>81</v>
      </c>
      <c r="G40" s="102">
        <v>0.25</v>
      </c>
      <c r="H40" s="1"/>
      <c r="I40" s="1" t="s">
        <v>85</v>
      </c>
      <c r="J40" s="71">
        <v>0.02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35">
      <c r="A41" s="1"/>
      <c r="B41" s="2" t="s">
        <v>41</v>
      </c>
      <c r="C41" s="96">
        <f>AVERAGE(C15:E15)</f>
        <v>0.29166666666666669</v>
      </c>
      <c r="D41" s="17"/>
      <c r="E41" s="2"/>
      <c r="F41" s="1" t="s">
        <v>82</v>
      </c>
      <c r="G41" s="102">
        <v>0.3</v>
      </c>
      <c r="H41" s="1"/>
      <c r="I41" s="1" t="s">
        <v>86</v>
      </c>
      <c r="J41" s="71">
        <v>0.04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35">
      <c r="A42" s="1"/>
      <c r="B42" s="2"/>
      <c r="C42" s="1"/>
      <c r="D42" s="103"/>
      <c r="E42" s="104"/>
      <c r="F42" s="1" t="s">
        <v>83</v>
      </c>
      <c r="G42" s="100">
        <f>1-G39-G40-G41</f>
        <v>0.2</v>
      </c>
      <c r="H42" s="1"/>
      <c r="I42" s="1" t="s">
        <v>87</v>
      </c>
      <c r="J42" s="71">
        <v>0.01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35">
      <c r="A43" s="1"/>
      <c r="B43" s="105" t="s">
        <v>71</v>
      </c>
      <c r="C43" s="105"/>
      <c r="D43" s="1"/>
      <c r="E43" s="1"/>
      <c r="F43" s="1"/>
      <c r="G43" s="1"/>
      <c r="H43" s="1"/>
      <c r="I43" s="1"/>
      <c r="J43" s="9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35">
      <c r="A44" s="1"/>
      <c r="B44" s="86" t="s">
        <v>95</v>
      </c>
      <c r="C44" s="106">
        <f>AVERAGE(C10/C7,D10/D7,E10/E7)</f>
        <v>7.0241626150983047E-2</v>
      </c>
      <c r="D44" s="17"/>
      <c r="E44" s="1"/>
      <c r="F44" s="107" t="s">
        <v>88</v>
      </c>
      <c r="G44" s="108">
        <f>(G39*J39)+(G40*J40)+(G41*J41)+(G42*J42)</f>
        <v>2.2749999999999999E-2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35">
      <c r="A45" s="1"/>
      <c r="B45" s="2"/>
      <c r="C45" s="1"/>
      <c r="D45" s="17"/>
      <c r="E45" s="1"/>
      <c r="F45" s="107" t="s">
        <v>89</v>
      </c>
      <c r="G45" s="109">
        <v>2.5000000000000001E-2</v>
      </c>
      <c r="H45" s="1" t="s">
        <v>99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6" customHeight="1" x14ac:dyDescent="0.35">
      <c r="A46" s="1"/>
      <c r="B46" s="110" t="s">
        <v>96</v>
      </c>
      <c r="C46" s="106">
        <f>AVERAGE(C11/C7,D11/D7,E11/E7)</f>
        <v>6.9555914956204973E-2</v>
      </c>
      <c r="D46" s="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35">
      <c r="A47" s="1"/>
      <c r="B47" s="2"/>
      <c r="C47" s="1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6" customHeight="1" x14ac:dyDescent="0.35">
      <c r="A48" s="1"/>
      <c r="B48" s="2" t="s">
        <v>97</v>
      </c>
      <c r="C48" s="111">
        <f>AVERAGE(C12/C7,D12/D7,E12/E7)</f>
        <v>2.7662115056617198E-2</v>
      </c>
      <c r="D48" s="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3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3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3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3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3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3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82"/>
      <c r="N54" s="10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35">
      <c r="A55" s="1"/>
      <c r="B55" s="2"/>
      <c r="C55" s="1"/>
      <c r="D55" s="10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35">
      <c r="A56" s="1"/>
      <c r="B56" s="86"/>
      <c r="C56" s="10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3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3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3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3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3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3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3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3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3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3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3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3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3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3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3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3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3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3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3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3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3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3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3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3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3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3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3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43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43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43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43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43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43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43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43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</sheetData>
  <mergeCells count="12">
    <mergeCell ref="D2:J2"/>
    <mergeCell ref="B4:D4"/>
    <mergeCell ref="B2:C2"/>
    <mergeCell ref="B34:C34"/>
    <mergeCell ref="B43:C43"/>
    <mergeCell ref="D19:F19"/>
    <mergeCell ref="B21:C21"/>
    <mergeCell ref="B22:C22"/>
    <mergeCell ref="B29:C29"/>
    <mergeCell ref="B40:C40"/>
    <mergeCell ref="F37:J37"/>
    <mergeCell ref="F21:J2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DCF</vt:lpstr>
      <vt:lpstr>Financials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CHANARD Marcel</cp:lastModifiedBy>
  <cp:revision/>
  <dcterms:created xsi:type="dcterms:W3CDTF">2026-03-26T16:35:49Z</dcterms:created>
  <dcterms:modified xsi:type="dcterms:W3CDTF">2026-03-31T14:34:06Z</dcterms:modified>
  <cp:category/>
  <cp:contentStatus/>
</cp:coreProperties>
</file>